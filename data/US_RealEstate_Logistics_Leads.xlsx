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Hot Leads (Top 100)" sheetId="2" r:id="rId5"/>
    <sheet state="visible" name="Leads" sheetId="3" r:id="rId6"/>
    <sheet state="visible" name="Call Tracker" sheetId="4" r:id="rId7"/>
    <sheet state="visible" name="Mid-Market Logistics" sheetId="5" r:id="rId8"/>
  </sheets>
  <definedNames>
    <definedName hidden="1" localSheetId="1" name="_xlnm._FilterDatabase">'Hot Leads (Top 100)'!$A$1:$L$101</definedName>
    <definedName hidden="1" localSheetId="2" name="_xlnm._FilterDatabase">Leads!$A$1:$L$285</definedName>
    <definedName hidden="1" localSheetId="3" name="_xlnm._FilterDatabase">'Call Tracker'!$A$1:$L$285</definedName>
    <definedName hidden="1" localSheetId="4" name="_xlnm._FilterDatabase">'Mid-Market Logistics'!$A$1:$K$26</definedName>
  </definedNames>
  <calcPr/>
</workbook>
</file>

<file path=xl/sharedStrings.xml><?xml version="1.0" encoding="utf-8"?>
<sst xmlns="http://schemas.openxmlformats.org/spreadsheetml/2006/main" count="4405" uniqueCount="1503">
  <si>
    <t>Call Campaign Summary</t>
  </si>
  <si>
    <t>Total Leads</t>
  </si>
  <si>
    <t>Not Started</t>
  </si>
  <si>
    <t>Attempted (No Answer/Voicemail/Gatekeeper)</t>
  </si>
  <si>
    <t>Spoke - Interested / Follow-up Scheduled</t>
  </si>
  <si>
    <t>Meetings Booked</t>
  </si>
  <si>
    <t>Closed Won</t>
  </si>
  <si>
    <t>Closed Lost / Not Interested</t>
  </si>
  <si>
    <t>Bad Number / DNC</t>
  </si>
  <si>
    <t>Priority Rank</t>
  </si>
  <si>
    <t>Industry</t>
  </si>
  <si>
    <t>Business Name</t>
  </si>
  <si>
    <t>Owner / Key Contact</t>
  </si>
  <si>
    <t>Phone</t>
  </si>
  <si>
    <t>Email</t>
  </si>
  <si>
    <t>Website</t>
  </si>
  <si>
    <t>LinkedIn</t>
  </si>
  <si>
    <t>City, State</t>
  </si>
  <si>
    <t>Google Rating (count)</t>
  </si>
  <si>
    <t>Why It's Hot</t>
  </si>
  <si>
    <t>Notes / Verify on Call</t>
  </si>
  <si>
    <t>Logistics</t>
  </si>
  <si>
    <t>First Mile Transportation LLC</t>
  </si>
  <si>
    <t>Bernard Baggett (CEO)</t>
  </si>
  <si>
    <t>+1 513-964-7021</t>
  </si>
  <si>
    <t>Not public - website contact form</t>
  </si>
  <si>
    <t>firstmiletransportationllc.com</t>
  </si>
  <si>
    <t>linkedin.com/company/first-mile-transportation-llc</t>
  </si>
  <si>
    <t>Cincinnati, OH</t>
  </si>
  <si>
    <t>Brand-new/very small carrier, minimal footprint</t>
  </si>
  <si>
    <t>Strong automation-gap candidate</t>
  </si>
  <si>
    <t>Monster Logistics LLC</t>
  </si>
  <si>
    <t>Justin Allen Monter (owner, per FMCSA filing)</t>
  </si>
  <si>
    <t>+1 330-274-4280</t>
  </si>
  <si>
    <t>monsterlogistics.com</t>
  </si>
  <si>
    <t>Verify - linked from monsterlogistics.com footer</t>
  </si>
  <si>
    <t>Akron, OH</t>
  </si>
  <si>
    <t>Very small/new brokerage, minimal footprint</t>
  </si>
  <si>
    <t>Taylor Transports</t>
  </si>
  <si>
    <t>Not identified - confirm on call</t>
  </si>
  <si>
    <t>+1 937-949-5309</t>
  </si>
  <si>
    <t>taylorfreight.com</t>
  </si>
  <si>
    <t>Not found - verify on call</t>
  </si>
  <si>
    <t>Dayton, OH</t>
  </si>
  <si>
    <t>Very small/new carrier, minimal footprint</t>
  </si>
  <si>
    <t>Premier LTL Transportation Inc</t>
  </si>
  <si>
    <t>Maria Lopez (staff - confirm owner)</t>
  </si>
  <si>
    <t>+1 714-660-9090</t>
  </si>
  <si>
    <t>premiertransportationinc.com</t>
  </si>
  <si>
    <t>Anaheim, CA</t>
  </si>
  <si>
    <t>Very small/new freight carrier</t>
  </si>
  <si>
    <t>Allegiance Trucking, LLC</t>
  </si>
  <si>
    <t>+1 806-584-4650</t>
  </si>
  <si>
    <t>allegiancetruckingco.com</t>
  </si>
  <si>
    <t>Amarillo, TX</t>
  </si>
  <si>
    <t>Abdi Transport Inc</t>
  </si>
  <si>
    <t>Abdi Aden (President) / Abdirahman Farah (VP)</t>
  </si>
  <si>
    <t>+1 614-591-4080</t>
  </si>
  <si>
    <t>abditransportinc.com</t>
  </si>
  <si>
    <t>Columbus, OH</t>
  </si>
  <si>
    <t>Very small, owner hands-on per reviews</t>
  </si>
  <si>
    <t>Esco's Trucking LLC</t>
  </si>
  <si>
    <t>Silvia and Guillermo (owners)</t>
  </si>
  <si>
    <t>+1 210-815-9412</t>
  </si>
  <si>
    <t>Website not confirmed - verify</t>
  </si>
  <si>
    <t>Search "Esco's Trucking San Antonio" on LinkedIn</t>
  </si>
  <si>
    <t>San Antonio, TX</t>
  </si>
  <si>
    <t>Very small carrier, minimal online footprint</t>
  </si>
  <si>
    <t>Schwerman Trucking Co</t>
  </si>
  <si>
    <t>+1 254-776-1012</t>
  </si>
  <si>
    <t>Search 'Schwerman Trucking Waco' on LinkedIn</t>
  </si>
  <si>
    <t>Waco, TX</t>
  </si>
  <si>
    <t>Very small/new location, minimal footprint</t>
  </si>
  <si>
    <t>Marathon Transportation and Logistics, inc</t>
  </si>
  <si>
    <t>+1 706-442-0094</t>
  </si>
  <si>
    <t>Search 'Marathon Transportation Logistics Columbus GA' on LinkedIn</t>
  </si>
  <si>
    <t>Columbus, GA</t>
  </si>
  <si>
    <t>Austin Texas Transport LLC</t>
  </si>
  <si>
    <t>Martin (staff/owner - confirm)</t>
  </si>
  <si>
    <t>+1 512-679-4671</t>
  </si>
  <si>
    <t>Search 'Austin Texas Transport LLC' on LinkedIn</t>
  </si>
  <si>
    <t>Austin, TX</t>
  </si>
  <si>
    <t>Very small local/regional carrier</t>
  </si>
  <si>
    <t>Revive Transport</t>
  </si>
  <si>
    <t>+1 567-314-9696</t>
  </si>
  <si>
    <t>Search 'Revive Transport Toledo' on LinkedIn</t>
  </si>
  <si>
    <t>Toledo, OH</t>
  </si>
  <si>
    <t>Very small local carrier</t>
  </si>
  <si>
    <t>Real Estate</t>
  </si>
  <si>
    <t>Independent Realty</t>
  </si>
  <si>
    <t>+1 510-278-5800</t>
  </si>
  <si>
    <t>Search 'Independent Realty San Leandro' on LinkedIn</t>
  </si>
  <si>
    <t>San Leandro, CA</t>
  </si>
  <si>
    <t>Very small shop, low review count</t>
  </si>
  <si>
    <t>Timeline Logistics - Corpus Christi</t>
  </si>
  <si>
    <t>+1 866-973-4077</t>
  </si>
  <si>
    <t>Search 'Timeline Logistics Corpus Christi' on LinkedIn</t>
  </si>
  <si>
    <t>Corpus Christi, TX</t>
  </si>
  <si>
    <t>Very small carrier, minimal footprint</t>
  </si>
  <si>
    <t>Southwind Transportation Inc</t>
  </si>
  <si>
    <t>+1 330-270-0102</t>
  </si>
  <si>
    <t>Search 'Southwind Transportation Youngstown' on LinkedIn</t>
  </si>
  <si>
    <t>Youngstown, OH</t>
  </si>
  <si>
    <t>Navis Pack &amp; Ship</t>
  </si>
  <si>
    <t>+1 408-955-7225</t>
  </si>
  <si>
    <t>Search 'Navis Pack and Ship San Jose' on LinkedIn</t>
  </si>
  <si>
    <t>San Jose, CA</t>
  </si>
  <si>
    <t>Small specialty crating/shipping franchise</t>
  </si>
  <si>
    <t>Complete Logistics Co</t>
  </si>
  <si>
    <t>+1 619-661-9610</t>
  </si>
  <si>
    <t>Search 'Complete Logistics Co San Diego' on LinkedIn</t>
  </si>
  <si>
    <t>San Diego, CA</t>
  </si>
  <si>
    <t>GMT Resources, LLC</t>
  </si>
  <si>
    <t>+1 330-787-8900</t>
  </si>
  <si>
    <t>Search 'GMT Resources Canton Ohio' on LinkedIn</t>
  </si>
  <si>
    <t>Canton, OH</t>
  </si>
  <si>
    <t>Very small oilfield/trucking carrier</t>
  </si>
  <si>
    <t>Dan's Transport LLC</t>
  </si>
  <si>
    <t>+1 254-412-1923</t>
  </si>
  <si>
    <t>Search "Dan's Transport Waco" on LinkedIn</t>
  </si>
  <si>
    <t>bethel trans, ltd.</t>
  </si>
  <si>
    <t>+1 330-757-7149</t>
  </si>
  <si>
    <t>Search 'Bethel Trans Youngstown Ohio' on LinkedIn</t>
  </si>
  <si>
    <t>Small freight brokerage</t>
  </si>
  <si>
    <t>Lehmiller's Trucking</t>
  </si>
  <si>
    <t>+1 330-452-6533</t>
  </si>
  <si>
    <t>Search "Lehmiller's Trucking Canton Ohio" on LinkedIn</t>
  </si>
  <si>
    <t>JP XPRESS SERVICES, INC.</t>
  </si>
  <si>
    <t>Guadalupe (staff - confirm owner)</t>
  </si>
  <si>
    <t>+1 951-488-2327</t>
  </si>
  <si>
    <t>Search 'JP Xpress Services Riverside' on LinkedIn</t>
  </si>
  <si>
    <t>Riverside, CA</t>
  </si>
  <si>
    <t>Complete Carriers, LLC</t>
  </si>
  <si>
    <t>Brandon Rohrer (contact - confirm owner)</t>
  </si>
  <si>
    <t>+1 229-405-2422</t>
  </si>
  <si>
    <t>Search 'Complete Carriers Albany Georgia' on LinkedIn</t>
  </si>
  <si>
    <t>Albany, GA</t>
  </si>
  <si>
    <t>Very small international shipping/carrier shop</t>
  </si>
  <si>
    <t>Loomis Trucking</t>
  </si>
  <si>
    <t>+1 713-455-6566</t>
  </si>
  <si>
    <t>Search 'Loomis Trucking Houston' on LinkedIn</t>
  </si>
  <si>
    <t>Houston, TX</t>
  </si>
  <si>
    <t>Very small hotshot carrier, minimal online footprint</t>
  </si>
  <si>
    <t>Envision Realty Group at EG Realty</t>
  </si>
  <si>
    <t>John Mann &amp; Greg Clark (agents - confirm owner)</t>
  </si>
  <si>
    <t>+1 254-300-9933</t>
  </si>
  <si>
    <t>Search 'Envision Realty Group Waco' on LinkedIn</t>
  </si>
  <si>
    <t>Very small team under EG Realty</t>
  </si>
  <si>
    <t>Troyer Trucking</t>
  </si>
  <si>
    <t>+1 419-879-1663</t>
  </si>
  <si>
    <t>Search 'Troyer Trucking Lima Ohio' on LinkedIn</t>
  </si>
  <si>
    <t>Lima, OH</t>
  </si>
  <si>
    <t>LoadX Logistics LLC</t>
  </si>
  <si>
    <t>Justin (owner)</t>
  </si>
  <si>
    <t>+1 512-862-4046</t>
  </si>
  <si>
    <t>Search 'LoadX Logistics Austin' on LinkedIn</t>
  </si>
  <si>
    <t>Small owner-operated brokerage</t>
  </si>
  <si>
    <t>Car Shipping Carriers | Plano</t>
  </si>
  <si>
    <t>Louis (agent - confirm owner)</t>
  </si>
  <si>
    <t>+1 469-613-2070</t>
  </si>
  <si>
    <t>Search 'Car Shipping Carriers Plano' on LinkedIn</t>
  </si>
  <si>
    <t>Plano, TX</t>
  </si>
  <si>
    <t>Small auto-transport brokerage</t>
  </si>
  <si>
    <t>VLT express Inc</t>
  </si>
  <si>
    <t>+1 916-580-5909</t>
  </si>
  <si>
    <t>Search 'VLT Express Sacramento' on LinkedIn</t>
  </si>
  <si>
    <t>Sacramento, CA</t>
  </si>
  <si>
    <t>Small fleet carrier</t>
  </si>
  <si>
    <t>Total Logistics LLC</t>
  </si>
  <si>
    <t>+1 706-232-1777</t>
  </si>
  <si>
    <t>Search 'Total Logistics LLC Rome Georgia' on LinkedIn</t>
  </si>
  <si>
    <t>Rome, GA</t>
  </si>
  <si>
    <t>Lane's Transportation LLC</t>
  </si>
  <si>
    <t>+1 567-940-9633</t>
  </si>
  <si>
    <t>Search "Lane's Transportation Lima Ohio" on LinkedIn</t>
  </si>
  <si>
    <t>Freight Services</t>
  </si>
  <si>
    <t>+1 520-777-3850</t>
  </si>
  <si>
    <t>Search 'Freight Services Tucson Arizona' on LinkedIn</t>
  </si>
  <si>
    <t>Tucson, AZ</t>
  </si>
  <si>
    <t>Very small carrier/airfreight shop</t>
  </si>
  <si>
    <t>Silvan Trucking Company of Ohio</t>
  </si>
  <si>
    <t>+1 614-272-8163</t>
  </si>
  <si>
    <t>Search 'Silvan Trucking Ohio' on LinkedIn</t>
  </si>
  <si>
    <t>Very small local carrier, minimal online footprint</t>
  </si>
  <si>
    <t>MPCO Carriers, Inc</t>
  </si>
  <si>
    <t>+1 512-994-2131</t>
  </si>
  <si>
    <t>Search 'MPCO Carriers Austin' on LinkedIn</t>
  </si>
  <si>
    <t>Small refrigerated freight carrier</t>
  </si>
  <si>
    <t>Double A Hauling</t>
  </si>
  <si>
    <t>Travis Caldwell (mentioned - confirm owner)</t>
  </si>
  <si>
    <t>+1 706-338-1402</t>
  </si>
  <si>
    <t>Search 'Double A Hauling Athens Georgia' on LinkedIn</t>
  </si>
  <si>
    <t>Winterville, GA</t>
  </si>
  <si>
    <t>Very small hauling/contracting carrier</t>
  </si>
  <si>
    <t>CargoX Transport Inc</t>
  </si>
  <si>
    <t>+1 800-501-2032</t>
  </si>
  <si>
    <t>Search 'CargoX Transport Sacramento' on LinkedIn</t>
  </si>
  <si>
    <t>Small carrier, home-time focused per reviews</t>
  </si>
  <si>
    <t>Chozen Trucking Co</t>
  </si>
  <si>
    <t>Joe (owner)</t>
  </si>
  <si>
    <t>+1 562-427-5672</t>
  </si>
  <si>
    <t>Search 'Chozen Trucking Long Beach' on LinkedIn</t>
  </si>
  <si>
    <t>Long Beach, CA</t>
  </si>
  <si>
    <t>Small owner-led carrier</t>
  </si>
  <si>
    <t>Little Realty</t>
  </si>
  <si>
    <t>Bob and Linda Little (owners)</t>
  </si>
  <si>
    <t>+1 630-416-9000</t>
  </si>
  <si>
    <t>Search 'Little Realty Naperville' on LinkedIn</t>
  </si>
  <si>
    <t>Naperville, IL</t>
  </si>
  <si>
    <t>Very small family-owned shop, mixed reviews</t>
  </si>
  <si>
    <t>All Points Transport Savannah GA</t>
  </si>
  <si>
    <t>+1 912-964-7238</t>
  </si>
  <si>
    <t>Search 'All Points Transport Savannah' on LinkedIn</t>
  </si>
  <si>
    <t>Savannah, GA</t>
  </si>
  <si>
    <t>Very small port drayage carrier</t>
  </si>
  <si>
    <t>The Real Estate Agency</t>
  </si>
  <si>
    <t>Claudia Abraham (advisor - confirm owner)</t>
  </si>
  <si>
    <t>+1 915-600-7666</t>
  </si>
  <si>
    <t>Search 'The Real Estate Agency El Paso' on LinkedIn</t>
  </si>
  <si>
    <t>El Paso, TX</t>
  </si>
  <si>
    <t>California Earth Transport Inc.</t>
  </si>
  <si>
    <t>Alex (staff - confirm owner)</t>
  </si>
  <si>
    <t>+1 714-447-3478</t>
  </si>
  <si>
    <t>Search 'California Earth Transport Fullerton' on LinkedIn</t>
  </si>
  <si>
    <t>Fullerton, CA</t>
  </si>
  <si>
    <t>Small dirt/aggregate hauling carrier</t>
  </si>
  <si>
    <t>KDSI TRUCKING INC</t>
  </si>
  <si>
    <t>+1 409-835-0069</t>
  </si>
  <si>
    <t>Search 'KDSI Trucking Beaumont' on LinkedIn</t>
  </si>
  <si>
    <t>Beaumont, TX</t>
  </si>
  <si>
    <t>Small regional carrier</t>
  </si>
  <si>
    <t>JJ Spencer Transport II, LP</t>
  </si>
  <si>
    <t>Jay Williams (driver - confirm owner)</t>
  </si>
  <si>
    <t>+1 903-592-2515</t>
  </si>
  <si>
    <t>Search 'JJ Spencer Transport Tyler Texas' on LinkedIn</t>
  </si>
  <si>
    <t>Tyler, TX</t>
  </si>
  <si>
    <t>Small fuel-hauling carrier</t>
  </si>
  <si>
    <t>Pull Em Freight</t>
  </si>
  <si>
    <t>Not identified - female owner per reviews, confirm</t>
  </si>
  <si>
    <t>+1 419-208-9110</t>
  </si>
  <si>
    <t>Search 'Pull Em Freight Toledo' on LinkedIn</t>
  </si>
  <si>
    <t>Very small owner-operated carrier</t>
  </si>
  <si>
    <t>Watson Trucking</t>
  </si>
  <si>
    <t>Not identified - family-owned per reviews, confirm</t>
  </si>
  <si>
    <t>+1 706-548-1005</t>
  </si>
  <si>
    <t>Search 'Watson Trucking Athens Georgia' on LinkedIn</t>
  </si>
  <si>
    <t>Athens, GA</t>
  </si>
  <si>
    <t>Small family-owned gravel/hauling carrier</t>
  </si>
  <si>
    <t>Cleveland Trucking</t>
  </si>
  <si>
    <t>+1 216-663-2527</t>
  </si>
  <si>
    <t>Search 'Cleveland Trucking Ohio' on LinkedIn</t>
  </si>
  <si>
    <t>Cleveland, OH</t>
  </si>
  <si>
    <t>Very small local mover/carrier</t>
  </si>
  <si>
    <t>Kenan Transport Co</t>
  </si>
  <si>
    <t>+1 704-399-1596</t>
  </si>
  <si>
    <t>Search 'Kenan Transport Charlotte' on LinkedIn</t>
  </si>
  <si>
    <t>Charlotte, NC</t>
  </si>
  <si>
    <t>Gtx Transport Llc</t>
  </si>
  <si>
    <t>Paul Gill (owner)</t>
  </si>
  <si>
    <t>+1 602-459-4329</t>
  </si>
  <si>
    <t>Search 'Paul Gill Gtx Transport Phoenix' on LinkedIn</t>
  </si>
  <si>
    <t>Laveen Village, AZ</t>
  </si>
  <si>
    <t>Trans-States Express</t>
  </si>
  <si>
    <t>+1 513-679-7100</t>
  </si>
  <si>
    <t>Search 'Trans-States Express Cincinnati' on LinkedIn</t>
  </si>
  <si>
    <t>Small family-run carrier</t>
  </si>
  <si>
    <t>Landmark Realty and Investments, LLC</t>
  </si>
  <si>
    <t>Tommy Cangelosi (owner)</t>
  </si>
  <si>
    <t>+1 229-262-7305</t>
  </si>
  <si>
    <t>Search 'Tommy Cangelosi Landmark Realty Valdosta' on LinkedIn</t>
  </si>
  <si>
    <t>Valdosta, GA</t>
  </si>
  <si>
    <t>Very small owner-led shop</t>
  </si>
  <si>
    <t>The Real Estate Concierge</t>
  </si>
  <si>
    <t>+1 229-232-8250</t>
  </si>
  <si>
    <t>Search 'The Real Estate Concierge Albany Georgia' on LinkedIn</t>
  </si>
  <si>
    <t>Very small shop, mixed property-mgmt reviews</t>
  </si>
  <si>
    <t>GTC Logistics, Inc.</t>
  </si>
  <si>
    <t>+1 559-275-3737</t>
  </si>
  <si>
    <t>Search 'GTC Logistics Fresno' on LinkedIn</t>
  </si>
  <si>
    <t>Fresno, CA</t>
  </si>
  <si>
    <t>Small carrier with yard/parking operation</t>
  </si>
  <si>
    <t>Infiniti Real Estate</t>
  </si>
  <si>
    <t>Valerie (agent/owner - confirm)</t>
  </si>
  <si>
    <t>+1 408-667-3013</t>
  </si>
  <si>
    <t>Search 'Valerie Infiniti Real Estate San Jose' on LinkedIn</t>
  </si>
  <si>
    <t>Very small boutique shop</t>
  </si>
  <si>
    <t>Casas Trucking</t>
  </si>
  <si>
    <t>+1 951-977-8822</t>
  </si>
  <si>
    <t>Search 'Casas Trucking Riverside' on LinkedIn</t>
  </si>
  <si>
    <t>Small local delivery carrier</t>
  </si>
  <si>
    <t>Ace Drayage - Savannah Intermodal Trucking</t>
  </si>
  <si>
    <t>Melissa / Stephanie (staff - confirm owner)</t>
  </si>
  <si>
    <t>+1 912-964-0037</t>
  </si>
  <si>
    <t>Search 'Ace Drayage Savannah' on LinkedIn</t>
  </si>
  <si>
    <t>Garden City, GA</t>
  </si>
  <si>
    <t>Small intermodal drayage shop, phone-quoted pricing</t>
  </si>
  <si>
    <t>Teri Harris Trucking</t>
  </si>
  <si>
    <t>Teri Harris (owner)</t>
  </si>
  <si>
    <t>+1 706-543-0061</t>
  </si>
  <si>
    <t>Search 'Teri Harris Trucking Athens Georgia' on LinkedIn</t>
  </si>
  <si>
    <t>Small owner-operated carrier</t>
  </si>
  <si>
    <t>Starrette Houston Trucking, LLC</t>
  </si>
  <si>
    <t>+1 706-860-2060</t>
  </si>
  <si>
    <t>Search 'Starrette Houston Trucking Augusta' on LinkedIn</t>
  </si>
  <si>
    <t>Augusta, GA</t>
  </si>
  <si>
    <t>Small bulk-hauling carrier</t>
  </si>
  <si>
    <t>Bert Aranda, Independent Real Estate Brokers</t>
  </si>
  <si>
    <t>Bert Aranda (owner)</t>
  </si>
  <si>
    <t>+1 510-507-2396</t>
  </si>
  <si>
    <t>Search 'Bert Aranda Independent Real Estate Brokers' on LinkedIn</t>
  </si>
  <si>
    <t>Small independent owner-led brokerage</t>
  </si>
  <si>
    <t>Lykes Cartage Co Inc</t>
  </si>
  <si>
    <t>Chris (manager - confirm owner)</t>
  </si>
  <si>
    <t>+1 512-933-9060</t>
  </si>
  <si>
    <t>Search 'Lykes Cartage Co Lubbock' on LinkedIn</t>
  </si>
  <si>
    <t>Lubbock, TX</t>
  </si>
  <si>
    <t>Small warehouse/cartage carrier</t>
  </si>
  <si>
    <t>TG Stegall Trucking Company</t>
  </si>
  <si>
    <t>Stan (contact - confirm owner)</t>
  </si>
  <si>
    <t>+1 704-343-8533</t>
  </si>
  <si>
    <t>Search 'TG Stegall Trucking Charlotte' on LinkedIn</t>
  </si>
  <si>
    <t>Small family-owned repair/trucking shop</t>
  </si>
  <si>
    <t>Nonstop Brokerage Inc</t>
  </si>
  <si>
    <t>Zach (contact - confirm owner)</t>
  </si>
  <si>
    <t>+1 919-785-0011</t>
  </si>
  <si>
    <t>Search 'Nonstop Brokerage Raleigh' on LinkedIn</t>
  </si>
  <si>
    <t>Raleigh, NC</t>
  </si>
  <si>
    <t>Chemical South Transport</t>
  </si>
  <si>
    <t>Mike Gale (leadership - confirm owner)</t>
  </si>
  <si>
    <t>+1 912-966-1000</t>
  </si>
  <si>
    <t>Search 'Chemical South Transport Savannah' on LinkedIn</t>
  </si>
  <si>
    <t>Small specialized (chemical) carrier, family-run culture</t>
  </si>
  <si>
    <t>TRANSWORTH</t>
  </si>
  <si>
    <t>Lee Hollingsworth (mentioned - confirm owner)</t>
  </si>
  <si>
    <t>+1 866-251-4200</t>
  </si>
  <si>
    <t>Search 'TRANSWORTH Columbus Georgia' on LinkedIn</t>
  </si>
  <si>
    <t>Small carrier/leasing operation</t>
  </si>
  <si>
    <t>REGENCY REAL ESTATE</t>
  </si>
  <si>
    <t>Christine Norris (agent - confirm owner)</t>
  </si>
  <si>
    <t>+1 409-724-6683</t>
  </si>
  <si>
    <t>Search 'Regency Real Estate Beaumont' on LinkedIn</t>
  </si>
  <si>
    <t>Very small independent shop</t>
  </si>
  <si>
    <t>Legend Transport - Corpus Christi</t>
  </si>
  <si>
    <t>+1 361-510-0166</t>
  </si>
  <si>
    <t>Search 'Legend Transport Corpus Christi' on LinkedIn</t>
  </si>
  <si>
    <t>Small trucking/parking operation</t>
  </si>
  <si>
    <t>Hacienda Texas Realty</t>
  </si>
  <si>
    <t>Andres Lopez (owner)</t>
  </si>
  <si>
    <t>+1 254-466-0892</t>
  </si>
  <si>
    <t>Search 'Andres Lopez Hacienda Texas Realty' on LinkedIn</t>
  </si>
  <si>
    <t>Killeen, TX</t>
  </si>
  <si>
    <t>Small family-run brokerage</t>
  </si>
  <si>
    <t>Parker Real Estate Group: Cindy Kissinger</t>
  </si>
  <si>
    <t>Cindy Kissinger (agent/owner)</t>
  </si>
  <si>
    <t>+1 229-886-0234</t>
  </si>
  <si>
    <t>Search 'Cindy Kissinger Parker Real Estate Group' on LinkedIn</t>
  </si>
  <si>
    <t>Leesburg, GA</t>
  </si>
  <si>
    <t>Solo-agent personal brand</t>
  </si>
  <si>
    <t>ABC Trucking Logistics</t>
  </si>
  <si>
    <t>+1 770-986-8288</t>
  </si>
  <si>
    <t>Search 'ABC Trucking Logistics Atlanta' on LinkedIn</t>
  </si>
  <si>
    <t>Atlanta, GA</t>
  </si>
  <si>
    <t>Small shop with attached tire service, likely manual ops</t>
  </si>
  <si>
    <t>AMS Carriers</t>
  </si>
  <si>
    <t>Christian (owner)</t>
  </si>
  <si>
    <t>+1 714-592-1053</t>
  </si>
  <si>
    <t>Search 'AMS Carriers Santa Ana' on LinkedIn</t>
  </si>
  <si>
    <t>Santa Ana, CA</t>
  </si>
  <si>
    <t>Small owner-led flatbed brokerage</t>
  </si>
  <si>
    <t>ERA ALL IN ONE REALTY</t>
  </si>
  <si>
    <t>Amanda Wiley (agent - confirm owner)</t>
  </si>
  <si>
    <t>+1 229-888-6670</t>
  </si>
  <si>
    <t>Search 'ERA All In One Realty Albany Georgia' on LinkedIn</t>
  </si>
  <si>
    <t>Small franchise office</t>
  </si>
  <si>
    <t>Paragon Trucking</t>
  </si>
  <si>
    <t>Bob (owner)</t>
  </si>
  <si>
    <t>+1 323-586-0406</t>
  </si>
  <si>
    <t>Search 'Paragon Trucking Vernon CA' on LinkedIn</t>
  </si>
  <si>
    <t>Vernon, CA</t>
  </si>
  <si>
    <t>Owner-operated brokerage, hands-on customs/dispatch</t>
  </si>
  <si>
    <t>Tactical Trucking Solutions, LLC</t>
  </si>
  <si>
    <t>+1 661-487-4147</t>
  </si>
  <si>
    <t>Search 'Tactical Trucking Solutions Bakersfield' on LinkedIn</t>
  </si>
  <si>
    <t>Bakersfield, CA</t>
  </si>
  <si>
    <t>Veteran/family-owned small carrier</t>
  </si>
  <si>
    <t>Masur Trucking Inc</t>
  </si>
  <si>
    <t>Holly (staff - confirm owner)</t>
  </si>
  <si>
    <t>+1 513-771-5008</t>
  </si>
  <si>
    <t>Search 'Masur Trucking Cincinnati' on LinkedIn</t>
  </si>
  <si>
    <t>Hoc Transport Co</t>
  </si>
  <si>
    <t>+1 330-630-0100</t>
  </si>
  <si>
    <t>Search 'Hoc Transport Akron' on LinkedIn</t>
  </si>
  <si>
    <t>Small fuel-delivery/tanker carrier</t>
  </si>
  <si>
    <t>Carolina Trucking Inc</t>
  </si>
  <si>
    <t>+1 619-661-1554</t>
  </si>
  <si>
    <t>Search 'Carolina Trucking San Diego' on LinkedIn</t>
  </si>
  <si>
    <t>Small port drayage/container carrier</t>
  </si>
  <si>
    <t>JWH Transport</t>
  </si>
  <si>
    <t>+1 706-234-4434</t>
  </si>
  <si>
    <t>Search 'JWH Transport Rome Georgia' on LinkedIn</t>
  </si>
  <si>
    <t>Small carrier with in-house mechanic shop</t>
  </si>
  <si>
    <t>Myers Cobb Realtors</t>
  </si>
  <si>
    <t>+1 901-552-4036</t>
  </si>
  <si>
    <t>Search 'Myers Cobb Realtors Memphis' on LinkedIn</t>
  </si>
  <si>
    <t>Memphis, TN</t>
  </si>
  <si>
    <t>Very small luxury-focused shop</t>
  </si>
  <si>
    <t>Augusta Real Estate Co.</t>
  </si>
  <si>
    <t>Todd &amp; Laura Lamb (agents - confirm owner)</t>
  </si>
  <si>
    <t>+1 706-619-1259</t>
  </si>
  <si>
    <t>Search 'Augusta Real Estate Co' on LinkedIn</t>
  </si>
  <si>
    <t>White Real Estate Group, LLC</t>
  </si>
  <si>
    <t>Gary White (owner)</t>
  </si>
  <si>
    <t>+1 706-576-2400 ext. 46</t>
  </si>
  <si>
    <t>Search 'Gary White Real Estate Group Columbus GA' on LinkedIn</t>
  </si>
  <si>
    <t>Very small family-run brokerage</t>
  </si>
  <si>
    <t>Laverde Trucking Inc.</t>
  </si>
  <si>
    <t>Dylan / Juan (office staff - confirm owner)</t>
  </si>
  <si>
    <t>+1 310-671-6170</t>
  </si>
  <si>
    <t>Search 'Laverde Trucking Los Angeles' on LinkedIn</t>
  </si>
  <si>
    <t>Los Angeles, CA</t>
  </si>
  <si>
    <t>Family-owned local/regional carrier</t>
  </si>
  <si>
    <t>Non Stop Transportation Inc</t>
  </si>
  <si>
    <t>+1 562-630-1726</t>
  </si>
  <si>
    <t>Search 'Non Stop Transportation Paramount CA' on LinkedIn</t>
  </si>
  <si>
    <t>Paramount, CA</t>
  </si>
  <si>
    <t>Small SoCal flatbed/local carrier</t>
  </si>
  <si>
    <t>Tower Real Estate Agency</t>
  </si>
  <si>
    <t>Brent Lee &amp; Lauren Lee (owners)</t>
  </si>
  <si>
    <t>+1 951-369-8002</t>
  </si>
  <si>
    <t>Search 'Tower Real Estate Agency Riverside' on LinkedIn</t>
  </si>
  <si>
    <t>Small owner-led brokerage</t>
  </si>
  <si>
    <t>M S Logistics LLC</t>
  </si>
  <si>
    <t>+1 615-743-2868</t>
  </si>
  <si>
    <t>Search 'M S Logistics Nashville' on LinkedIn</t>
  </si>
  <si>
    <t>Nashville, TN</t>
  </si>
  <si>
    <t>Small regional carrier, mixed reviews</t>
  </si>
  <si>
    <t>Aspire Los Angeles</t>
  </si>
  <si>
    <t>Letty (agent - confirm owner)</t>
  </si>
  <si>
    <t>+1 213-935-0050</t>
  </si>
  <si>
    <t>aspirela.com (verify)</t>
  </si>
  <si>
    <t>Search 'Aspire Los Angeles Real Estate' on LinkedIn</t>
  </si>
  <si>
    <t>Very small boutique, low review count = smaller shop</t>
  </si>
  <si>
    <t>CORE Real Estate Services</t>
  </si>
  <si>
    <t>Alex Saavedra / Eddie Nguyen (principals - confirm)</t>
  </si>
  <si>
    <t>+1 619-788-3343</t>
  </si>
  <si>
    <t>Search 'CORE Real Estate Services San Diego' on LinkedIn</t>
  </si>
  <si>
    <t>Very small boutique shop, low review count</t>
  </si>
  <si>
    <t>Bee Trucking, LLC</t>
  </si>
  <si>
    <t>+1 210-646-7211</t>
  </si>
  <si>
    <t>Search 'Bee Trucking San Antonio' on LinkedIn</t>
  </si>
  <si>
    <t>The Ashton Agency</t>
  </si>
  <si>
    <t>+1 817-266-1009</t>
  </si>
  <si>
    <t>theashtonagency.com (verify)</t>
  </si>
  <si>
    <t>Search 'The Ashton Agency Fort Worth' on LinkedIn</t>
  </si>
  <si>
    <t>Fort Worth, TX</t>
  </si>
  <si>
    <t>Very small boutique, low review count</t>
  </si>
  <si>
    <t>Freight Tech Cartage, Inc.</t>
  </si>
  <si>
    <t>Vito (owner)</t>
  </si>
  <si>
    <t>+1 847-258-3113</t>
  </si>
  <si>
    <t>Search 'Vito Freight Tech Cartage Naperville' on LinkedIn</t>
  </si>
  <si>
    <t>Small intermodal specialist, mixed reviews</t>
  </si>
  <si>
    <t>At Home Macon Real Estate Consulting</t>
  </si>
  <si>
    <t>Matthew Griffin (agent/owner - confirm)</t>
  </si>
  <si>
    <t>+1 478-957-9813</t>
  </si>
  <si>
    <t>Search 'Matthew Griffin At Home Macon' on LinkedIn</t>
  </si>
  <si>
    <t>Macon, GA</t>
  </si>
  <si>
    <t>Very small solo consulting-style shop</t>
  </si>
  <si>
    <t>Gonzalez Transport Logistics LLC</t>
  </si>
  <si>
    <t>+1 559-217-4243</t>
  </si>
  <si>
    <t>Search 'Gonzalez Transport Logistics Fresno' on LinkedIn</t>
  </si>
  <si>
    <t>Small family-style regional carrier</t>
  </si>
  <si>
    <t>DK EXPRESS CARGO INC</t>
  </si>
  <si>
    <t>+1 209-954-9354</t>
  </si>
  <si>
    <t>Search 'DK Express Cargo Stockton' on LinkedIn</t>
  </si>
  <si>
    <t>Stockton, CA</t>
  </si>
  <si>
    <t>Small carrier with wash/rest facility</t>
  </si>
  <si>
    <t>Jessica Wade, Real Estate Agent with eXp</t>
  </si>
  <si>
    <t>Jessica Wade (agent)</t>
  </si>
  <si>
    <t>+1 770-540-3641</t>
  </si>
  <si>
    <t>Search 'Jessica Wade Realtor eXp Gainesville' on LinkedIn</t>
  </si>
  <si>
    <t>Gainesville, GA</t>
  </si>
  <si>
    <t>Tesla Logistics Inc</t>
  </si>
  <si>
    <t>Angela (dispatcher - confirm owner)</t>
  </si>
  <si>
    <t>+1 614-407-1079</t>
  </si>
  <si>
    <t>Search 'Tesla Logistics Columbus Ohio' on LinkedIn</t>
  </si>
  <si>
    <t>Small carrier, dispatcher-led relationships (manual)</t>
  </si>
  <si>
    <t>F&amp;W Transportation</t>
  </si>
  <si>
    <t>+1 706-796-3342</t>
  </si>
  <si>
    <t>Search 'F&amp;W Transportation Augusta' on LinkedIn</t>
  </si>
  <si>
    <t>Family-owned regional carrier</t>
  </si>
  <si>
    <t>Ohio Realtor: Joey Marino</t>
  </si>
  <si>
    <t>Joey Marino III (owner/agent)</t>
  </si>
  <si>
    <t>+1 330-412-2221</t>
  </si>
  <si>
    <t>Search 'Joey Marino Realtor Canton Ohio' on LinkedIn</t>
  </si>
  <si>
    <t>Campos Trucking</t>
  </si>
  <si>
    <t>+1 915-852-0917</t>
  </si>
  <si>
    <t>Search 'Campos Trucking El Paso' on LinkedIn</t>
  </si>
  <si>
    <t>Say Yes 2 The Address Realty</t>
  </si>
  <si>
    <t>+1 478-254-2300</t>
  </si>
  <si>
    <t>Search 'Say Yes 2 The Address Realty' on LinkedIn</t>
  </si>
  <si>
    <t>Small boutique brokerage</t>
  </si>
  <si>
    <t>The Degnan Group</t>
  </si>
  <si>
    <t>Keith Degnan (owner/agent)</t>
  </si>
  <si>
    <t>+1 419-345-7808</t>
  </si>
  <si>
    <t>Search 'Keith Degnan Realty Toledo' on LinkedIn</t>
  </si>
  <si>
    <t>Very small solo-agent shop</t>
  </si>
  <si>
    <t>American Real Estate-List&amp;Sell</t>
  </si>
  <si>
    <t>Lorraine / Jason D'Souza (agents/owners - confirm)</t>
  </si>
  <si>
    <t>+1 951-387-4174</t>
  </si>
  <si>
    <t>Search 'American Real Estate List and Sell Riverside' on LinkedIn</t>
  </si>
  <si>
    <t>Small mother/son-led independent shop</t>
  </si>
  <si>
    <t>Pacific Shore Real Estate</t>
  </si>
  <si>
    <t>Ryan Stevens (agent - confirm owner)</t>
  </si>
  <si>
    <t>+1 661-410-7700</t>
  </si>
  <si>
    <t>Search 'Ryan Stevens Pacific Shore Real Estate' on LinkedIn</t>
  </si>
  <si>
    <t>RamRod Trucking, Inc</t>
  </si>
  <si>
    <t>Richard / Eysla (dispatch - confirm owner)</t>
  </si>
  <si>
    <t>+1 713-699-5757</t>
  </si>
  <si>
    <t>ramrodtrucking.com (verify)</t>
  </si>
  <si>
    <t>Search 'RamRod Trucking Houston' on LinkedIn</t>
  </si>
  <si>
    <t>Multi-branch hotshot/flatbed carrier, phone-based dispatch</t>
  </si>
  <si>
    <t>#</t>
  </si>
  <si>
    <t>Digital Maturity Signal</t>
  </si>
  <si>
    <t>Ms. Houston Real Estate</t>
  </si>
  <si>
    <t>Katy To (owner/agent)</t>
  </si>
  <si>
    <t>+1 346-327-5787</t>
  </si>
  <si>
    <t>Not public - use website contact form</t>
  </si>
  <si>
    <t>mshoustonrealestate.com</t>
  </si>
  <si>
    <t>linkedin.com/company/ms-houston-real-estate</t>
  </si>
  <si>
    <t>Small independent, review-driven, no visible booking automation</t>
  </si>
  <si>
    <t>Verify owner title on call</t>
  </si>
  <si>
    <t>Jay Thomas Real Estate Team</t>
  </si>
  <si>
    <t>Jay Thomas (team leader)</t>
  </si>
  <si>
    <t>+1 832-889-5607</t>
  </si>
  <si>
    <t>buywithjaythomas.com</t>
  </si>
  <si>
    <t>linkedin.com/in/thejaythomasteam</t>
  </si>
  <si>
    <t>Solo/small team brand, manual lead follow-up likely</t>
  </si>
  <si>
    <t>City Group Properties - Real Estate Brokerage</t>
  </si>
  <si>
    <t>Alex DiSaggio (Broker)</t>
  </si>
  <si>
    <t>+1 713-843-7284</t>
  </si>
  <si>
    <t>citygroupproperties.com</t>
  </si>
  <si>
    <t>Not confidently found - verify on call</t>
  </si>
  <si>
    <t>Boutique brokerage, several individual agents</t>
  </si>
  <si>
    <t>Ask for broker/owner name</t>
  </si>
  <si>
    <t>Evan Downey Real Estate Group, eXp Realty</t>
  </si>
  <si>
    <t>Evan Downey (Broker Associate)</t>
  </si>
  <si>
    <t>+1 214-997-4929</t>
  </si>
  <si>
    <t>evandowneyrealestate.com</t>
  </si>
  <si>
    <t>Not confidently matched (namesake conflict) - verify on call</t>
  </si>
  <si>
    <t>Dallas, TX</t>
  </si>
  <si>
    <t>eXp affiliated but small local team</t>
  </si>
  <si>
    <t>Confirm CRM/automation currently used</t>
  </si>
  <si>
    <t>Van Poole Properties Group, Keller Williams</t>
  </si>
  <si>
    <t>Seychelle Van Poole Engelhard (CEO)</t>
  </si>
  <si>
    <t>+1 214-267-9222</t>
  </si>
  <si>
    <t>vanpooleproperties.com</t>
  </si>
  <si>
    <t>linkedin.com/company/van-poole-properties-group</t>
  </si>
  <si>
    <t>Multi-agent KW team, mixed digital maturity</t>
  </si>
  <si>
    <t>Ask who owns lead intake process</t>
  </si>
  <si>
    <t>Dallas &amp; Beyond Real Estate Group</t>
  </si>
  <si>
    <t>Mani &amp; Eve (principals - confirm)</t>
  </si>
  <si>
    <t>+1 469-451-6330</t>
  </si>
  <si>
    <t>dallasandbeyond.com (verify)</t>
  </si>
  <si>
    <t>Search 'Dallas and Beyond Real Estate' on LinkedIn</t>
  </si>
  <si>
    <t>Lewisville, TX</t>
  </si>
  <si>
    <t>Small boutique team, personal-touch service model</t>
  </si>
  <si>
    <t>Verify legal owner name</t>
  </si>
  <si>
    <t>Method Real Estate Advisors</t>
  </si>
  <si>
    <t>+1 404-585-7355</t>
  </si>
  <si>
    <t>methodrealestate.com (verify)</t>
  </si>
  <si>
    <t>Search 'Method Real Estate Advisors' on LinkedIn</t>
  </si>
  <si>
    <t>Roswell, GA</t>
  </si>
  <si>
    <t>Independent brokerage, multiple solo agents</t>
  </si>
  <si>
    <t>Ask for managing broker name</t>
  </si>
  <si>
    <t>EmpowerHome Team Atlanta</t>
  </si>
  <si>
    <t>+1 404-974-4922</t>
  </si>
  <si>
    <t>empowerhometeam.com (verify)</t>
  </si>
  <si>
    <t>Search 'EmpowerHome Team Atlanta' on LinkedIn</t>
  </si>
  <si>
    <t>National brand local team - moderate digital maturity</t>
  </si>
  <si>
    <t>May already use some automation - qualify first</t>
  </si>
  <si>
    <t>Anna K Intown Real Estate Team</t>
  </si>
  <si>
    <t>Anna K (team founder - confirm)</t>
  </si>
  <si>
    <t>+1 678-400-9151</t>
  </si>
  <si>
    <t>annakintown.com (verify)</t>
  </si>
  <si>
    <t>Search 'Anna K Intown Real Estate' on LinkedIn</t>
  </si>
  <si>
    <t>Larger team, specialized roles per stage of deal</t>
  </si>
  <si>
    <t>Qualify automation gaps before pitching</t>
  </si>
  <si>
    <t>Affordable Real Estate Company</t>
  </si>
  <si>
    <t>Vanessa (agent - confirm owner)</t>
  </si>
  <si>
    <t>+1 614-884-3300</t>
  </si>
  <si>
    <t>Search 'Affordable Real Estate Company Columbus' on LinkedIn</t>
  </si>
  <si>
    <t>Small shop, limited hours (closed weekends), likely manual</t>
  </si>
  <si>
    <t>Kendle Real Estate Team</t>
  </si>
  <si>
    <t>Ron Kendle (team lead)</t>
  </si>
  <si>
    <t>+1 614-325-6295</t>
  </si>
  <si>
    <t>kendleteam.com (verify)</t>
  </si>
  <si>
    <t>Search 'Ron Kendle Real Estate' on LinkedIn</t>
  </si>
  <si>
    <t>RE/MAX affiliated small local team</t>
  </si>
  <si>
    <t>Verify current tools in use</t>
  </si>
  <si>
    <t>Lee Ritchie Realtor | Ritchie Realty Group</t>
  </si>
  <si>
    <t>Lee Ritchie (owner/agent)</t>
  </si>
  <si>
    <t>+1 614-595-0732</t>
  </si>
  <si>
    <t>ritchierealtygroup.com (verify)</t>
  </si>
  <si>
    <t>Search 'Lee Ritchie Realtor Columbus' on LinkedIn</t>
  </si>
  <si>
    <t>Independent RE/MAX Partners team</t>
  </si>
  <si>
    <t>Sell For 1 Percent</t>
  </si>
  <si>
    <t>Jaime (agent - confirm owner)</t>
  </si>
  <si>
    <t>+1 614-451-6616</t>
  </si>
  <si>
    <t>sellfor1percent.com (verify)</t>
  </si>
  <si>
    <t>Search 'Sell For 1 Percent Columbus' on LinkedIn</t>
  </si>
  <si>
    <t>Discount-model brokerage, high call volume, likely manual intake</t>
  </si>
  <si>
    <t>ARIA Properties</t>
  </si>
  <si>
    <t>+1 424-355-9088</t>
  </si>
  <si>
    <t>ariaproperties.com (verify)</t>
  </si>
  <si>
    <t>Search 'ARIA Properties Los Angeles' on LinkedIn</t>
  </si>
  <si>
    <t>Boutique brokerage, multiple individual agents</t>
  </si>
  <si>
    <t>Stephanie Younger Group</t>
  </si>
  <si>
    <t>Stephanie Younger (founder)</t>
  </si>
  <si>
    <t>+1 310-499-2020</t>
  </si>
  <si>
    <t>stephanieyounger.com (verify)</t>
  </si>
  <si>
    <t>Search 'Stephanie Younger Group' on LinkedIn</t>
  </si>
  <si>
    <t>Larger established team - moderate digital maturity</t>
  </si>
  <si>
    <t>The Agency Cleveland</t>
  </si>
  <si>
    <t>Josh Anton (agent - confirm owner)</t>
  </si>
  <si>
    <t>+1 216-415-7080</t>
  </si>
  <si>
    <t>Search 'Josh Anton Realtor Cleveland' on LinkedIn</t>
  </si>
  <si>
    <t>Chagrin Falls, OH</t>
  </si>
  <si>
    <t>Small local shop, weekend-closed hours</t>
  </si>
  <si>
    <t>Progressive Urban Real Estate</t>
  </si>
  <si>
    <t>Dave Sharkey (agent - confirm owner)</t>
  </si>
  <si>
    <t>+1 216-619-9696</t>
  </si>
  <si>
    <t>progressiveurban.com (verify)</t>
  </si>
  <si>
    <t>Search 'Progressive Urban Real Estate Cleveland' on LinkedIn</t>
  </si>
  <si>
    <t>Independent urban-focused brokerage</t>
  </si>
  <si>
    <t>Inna Muravin - Engel &amp; Volkers Distinct Real Estate</t>
  </si>
  <si>
    <t>Inna Muravin (agent/owner)</t>
  </si>
  <si>
    <t>+1 440-521-4555</t>
  </si>
  <si>
    <t>Search 'Inna Muravin Engel Volkers' on LinkedIn</t>
  </si>
  <si>
    <t>Pepper Pike, OH</t>
  </si>
  <si>
    <t>Small personal-brand team, manual client mgmt likely</t>
  </si>
  <si>
    <t>Staci Donegan, Seabolt Real Estate</t>
  </si>
  <si>
    <t>Staci Donegan (agent/owner)</t>
  </si>
  <si>
    <t>+1 912-247-2052</t>
  </si>
  <si>
    <t>stacidonegan.com (verify)</t>
  </si>
  <si>
    <t>Search 'Staci Donegan Seabolt Real Estate' on LinkedIn</t>
  </si>
  <si>
    <t>Solo-agent brand under small firm</t>
  </si>
  <si>
    <t>Heather Murphy Real Estate Group</t>
  </si>
  <si>
    <t>Heather Murphy (founder)</t>
  </si>
  <si>
    <t>+1 912-335-3956</t>
  </si>
  <si>
    <t>heathermurphygroup.com (verify)</t>
  </si>
  <si>
    <t>Search 'Heather Murphy Real Estate Group' on LinkedIn</t>
  </si>
  <si>
    <t>Established larger team - moderate digital maturity</t>
  </si>
  <si>
    <t>McIntosh Realty Team</t>
  </si>
  <si>
    <t>+1 912-436-6551</t>
  </si>
  <si>
    <t>mcintoshrealtyteam.com (verify)</t>
  </si>
  <si>
    <t>Search 'McIntosh Realty Team Savannah' on LinkedIn</t>
  </si>
  <si>
    <t>Large multi-agent team - moderate digital maturity</t>
  </si>
  <si>
    <t>Home Expansion Exp Realty Luxury</t>
  </si>
  <si>
    <t>Maria (agent - confirm owner)</t>
  </si>
  <si>
    <t>+1 661-805-6327</t>
  </si>
  <si>
    <t>Search 'Home Expansion Exp Realty Bakersfield' on LinkedIn</t>
  </si>
  <si>
    <t>eXp-affiliated small local team</t>
  </si>
  <si>
    <t>Ryan Dobbs Realty</t>
  </si>
  <si>
    <t>Ryan Dobbs (owner)</t>
  </si>
  <si>
    <t>+1 661-462-6866</t>
  </si>
  <si>
    <t>ryandobbsrealty.com (verify)</t>
  </si>
  <si>
    <t>Search 'Ryan Dobbs Realty' on LinkedIn</t>
  </si>
  <si>
    <t>Established local brand - moderate digital maturity</t>
  </si>
  <si>
    <t>J H Walker Trucking Inc</t>
  </si>
  <si>
    <t>Johnny (owner/principal - confirm)</t>
  </si>
  <si>
    <t>+1 713-688-8400</t>
  </si>
  <si>
    <t>Search 'J H Walker Trucking Houston' on LinkedIn</t>
  </si>
  <si>
    <t>Family-owned parent co. of 2 courier brands, likely manual dispatch</t>
  </si>
  <si>
    <t>Cannonball Trucking Inc</t>
  </si>
  <si>
    <t>Stacey Dalton (sales contact - confirm owner)</t>
  </si>
  <si>
    <t>+1 713-644-7300</t>
  </si>
  <si>
    <t>Search 'Cannonball Trucking Houston' on LinkedIn</t>
  </si>
  <si>
    <t>Titan Worldwide Logistics</t>
  </si>
  <si>
    <t>+1 469-991-0559</t>
  </si>
  <si>
    <t>titanworldwide.com (verify)</t>
  </si>
  <si>
    <t>Search 'Titan Worldwide Logistics Dallas' on LinkedIn</t>
  </si>
  <si>
    <t>Mid-size freight brokerage, manual quoting likely</t>
  </si>
  <si>
    <t>Summit Transportation</t>
  </si>
  <si>
    <t>+1 214-631-3080</t>
  </si>
  <si>
    <t>Search 'Summit Transportation Dallas' on LinkedIn</t>
  </si>
  <si>
    <t>Regional carrier, driver-management heavy</t>
  </si>
  <si>
    <t>Freedom Freight Services</t>
  </si>
  <si>
    <t>+1 404-699-2700</t>
  </si>
  <si>
    <t>freedomfreightservices.com (verify)</t>
  </si>
  <si>
    <t>Search 'Freedom Freight Services Atlanta' on LinkedIn</t>
  </si>
  <si>
    <t>Mid-size brokerage, phone-heavy load booking</t>
  </si>
  <si>
    <t>Cleveland Delivery &amp; Distribution</t>
  </si>
  <si>
    <t>T. Wagner (staff - confirm owner)</t>
  </si>
  <si>
    <t>+1 216-641-7793</t>
  </si>
  <si>
    <t>Search 'Cleveland Delivery and Distribution' on LinkedIn</t>
  </si>
  <si>
    <t>Small courier/delivery co., phone-based coordination</t>
  </si>
  <si>
    <t>Z Brothers Trucking LLC</t>
  </si>
  <si>
    <t>Andre and Roman (owners)</t>
  </si>
  <si>
    <t>+1 216-916-9850</t>
  </si>
  <si>
    <t>Search 'Z Brothers Trucking Cleveland' on LinkedIn</t>
  </si>
  <si>
    <t>Family-owned (brothers), yard + logistics services</t>
  </si>
  <si>
    <t>Best Yet Express</t>
  </si>
  <si>
    <t>+1 310-323-1880</t>
  </si>
  <si>
    <t>bestyetexpress.com (verify)</t>
  </si>
  <si>
    <t>Search 'Best Yet Express LA' on LinkedIn</t>
  </si>
  <si>
    <t>Gardena, CA</t>
  </si>
  <si>
    <t>Small LTL/local carrier, manual routing likely</t>
  </si>
  <si>
    <t>FBT Inc.</t>
  </si>
  <si>
    <t>+1 661-952-9195</t>
  </si>
  <si>
    <t>Search 'FBT Inc Bakersfield trucking' on LinkedIn</t>
  </si>
  <si>
    <t>Regional carrier, driver-relationship focused</t>
  </si>
  <si>
    <t>Roadies INC - Trucking Company In Bakersfield</t>
  </si>
  <si>
    <t>+1 661-214-8880</t>
  </si>
  <si>
    <t>Search 'Roadies Inc Bakersfield' on LinkedIn</t>
  </si>
  <si>
    <t>Local carrier, mixed service reviews</t>
  </si>
  <si>
    <t>The Hesles Agency - Mario Hesles</t>
  </si>
  <si>
    <t>Mario Hesles (owner)</t>
  </si>
  <si>
    <t>+1 210-908-6567</t>
  </si>
  <si>
    <t>Search 'Mario Hesles The Hesles Agency' on LinkedIn</t>
  </si>
  <si>
    <t>Personal-brand solo agency</t>
  </si>
  <si>
    <t>Devora Realty</t>
  </si>
  <si>
    <t>Johnny Devora (owner)</t>
  </si>
  <si>
    <t>+1 512-400-4248</t>
  </si>
  <si>
    <t>devorarealty.com (verify)</t>
  </si>
  <si>
    <t>Search 'Johnny Devora Realty Austin' on LinkedIn</t>
  </si>
  <si>
    <t>Small East Austin boutique brokerage</t>
  </si>
  <si>
    <t>Fort Worth Focused Real Estate</t>
  </si>
  <si>
    <t>+1 817-989-6520</t>
  </si>
  <si>
    <t>Search 'Fort Worth Focused Real Estate' on LinkedIn</t>
  </si>
  <si>
    <t>Small solo-agent-led shop</t>
  </si>
  <si>
    <t>The Corujo Team | Summer House Realty</t>
  </si>
  <si>
    <t>Tony &amp; Sam Corujo (team leads - confirm)</t>
  </si>
  <si>
    <t>+1 706-495-9999</t>
  </si>
  <si>
    <t>Search 'Corujo Team Summer House Realty' on LinkedIn</t>
  </si>
  <si>
    <t>Small husband/team-led brokerage</t>
  </si>
  <si>
    <t>Southern Homes Group Real Estate Company</t>
  </si>
  <si>
    <t>+1 706-250-0235</t>
  </si>
  <si>
    <t>Search 'Southern Homes Group Augusta' on LinkedIn</t>
  </si>
  <si>
    <t>Small local team</t>
  </si>
  <si>
    <t>Ann Marie McManus, McManus Properties at Meybohm</t>
  </si>
  <si>
    <t>Ann Marie McManus (owner/agent)</t>
  </si>
  <si>
    <t>+1 706-481-3800</t>
  </si>
  <si>
    <t>Search 'Ann Marie McManus Meybohm' on LinkedIn</t>
  </si>
  <si>
    <t>Personal-brand team under larger brokerage</t>
  </si>
  <si>
    <t>Rivoli Realty</t>
  </si>
  <si>
    <t>+1 478-477-6528</t>
  </si>
  <si>
    <t>Search 'Rivoli Realty Macon' on LinkedIn</t>
  </si>
  <si>
    <t>Small independent shop, veteran-focused agents</t>
  </si>
  <si>
    <t>Eric Sztanyo | Team Sztanyo Real Estate Agents</t>
  </si>
  <si>
    <t>Eric Sztanyo (team lead)</t>
  </si>
  <si>
    <t>+1 513-813-6293</t>
  </si>
  <si>
    <t>teamsztanyo.com (verify)</t>
  </si>
  <si>
    <t>Search 'Eric Sztanyo Team Sztanyo' on LinkedIn</t>
  </si>
  <si>
    <t>Small local team, some video/YouTube marketing</t>
  </si>
  <si>
    <t>Team Herr, Private Real Estate Collection</t>
  </si>
  <si>
    <t>Heather Herr (team lead)</t>
  </si>
  <si>
    <t>+1 513-708-7770</t>
  </si>
  <si>
    <t>teamherr.com (verify)</t>
  </si>
  <si>
    <t>Search 'Heather Herr Team Herr' on LinkedIn</t>
  </si>
  <si>
    <t>Small boutique local team</t>
  </si>
  <si>
    <t>Austin Long - The Haus Group</t>
  </si>
  <si>
    <t>Austin Long (agent/owner)</t>
  </si>
  <si>
    <t>+1 513-663-5300</t>
  </si>
  <si>
    <t>Search 'Austin Long The Haus Group Cincinnati' on LinkedIn</t>
  </si>
  <si>
    <t>Key Realty | Rick Turner &amp; Associates</t>
  </si>
  <si>
    <t>Rick Turner (owner/agent)</t>
  </si>
  <si>
    <t>+1 419-283-7425</t>
  </si>
  <si>
    <t>Search 'Rick Turner Key Realty Toledo' on LinkedIn</t>
  </si>
  <si>
    <t>Small independent shop</t>
  </si>
  <si>
    <t>Heather Smith LaPoint - Danberry Realtors</t>
  </si>
  <si>
    <t>Heather Smith LaPoint (agent)</t>
  </si>
  <si>
    <t>+1 419-360-0922</t>
  </si>
  <si>
    <t>Search 'Heather Smith LaPoint Danberry' on LinkedIn</t>
  </si>
  <si>
    <t>Solo agent under larger brokerage</t>
  </si>
  <si>
    <t>Exactly Real Estate</t>
  </si>
  <si>
    <t>Kevin (owner - confirm)</t>
  </si>
  <si>
    <t>+1 330-615-1414</t>
  </si>
  <si>
    <t>exactlyre.com (verify)</t>
  </si>
  <si>
    <t>Search 'Exactly Real Estate Akron' on LinkedIn</t>
  </si>
  <si>
    <t>Fairlawn, OH</t>
  </si>
  <si>
    <t>Flat-fee model, small independent team</t>
  </si>
  <si>
    <t>Adam Coleman Realtor, RE/MAX Edge</t>
  </si>
  <si>
    <t>Adam Coleman (agent/owner)</t>
  </si>
  <si>
    <t>+1 330-310-9489</t>
  </si>
  <si>
    <t>Search 'Adam Coleman RE/MAX Edge Akron' on LinkedIn</t>
  </si>
  <si>
    <t>Vision Sales Team - Real of Ohio</t>
  </si>
  <si>
    <t>+1 330-786-5493</t>
  </si>
  <si>
    <t>Search 'Vision Sales Team Real Ohio Akron' on LinkedIn</t>
  </si>
  <si>
    <t>Alex Saavedra with Core Real Estate Services</t>
  </si>
  <si>
    <t>Alex Saavedra (owner/agent)</t>
  </si>
  <si>
    <t>+1 619-519-0683</t>
  </si>
  <si>
    <t>Search 'Alex Saavedra Core Real Estate San Diego' on LinkedIn</t>
  </si>
  <si>
    <t>Owner-operated boutique brokerage</t>
  </si>
  <si>
    <t>Nathan King Real Estate Group</t>
  </si>
  <si>
    <t>Nathan King (owner)</t>
  </si>
  <si>
    <t>+1 559-396-0000</t>
  </si>
  <si>
    <t>Search 'Nathan King Real Estate Group Fresno' on LinkedIn</t>
  </si>
  <si>
    <t>Small local team, some YouTube marketing</t>
  </si>
  <si>
    <t>Gate12 Real Estate</t>
  </si>
  <si>
    <t>Todd &amp; Linda Mitchell (agents/owners - confirm)</t>
  </si>
  <si>
    <t>+1 559-540-8787</t>
  </si>
  <si>
    <t>Search 'Gate12 Real Estate Fresno' on LinkedIn</t>
  </si>
  <si>
    <t>Husband/wife-led small team</t>
  </si>
  <si>
    <t>Oscar Mata - Realtor</t>
  </si>
  <si>
    <t>Oscar Mata (owner/agent)</t>
  </si>
  <si>
    <t>+1 559-577-3819</t>
  </si>
  <si>
    <t>Search 'Oscar Mata Realtor Fresno' on LinkedIn</t>
  </si>
  <si>
    <t>Solo-agent personal brand, bilingual service</t>
  </si>
  <si>
    <t>J. Munoz Trucking, LLC</t>
  </si>
  <si>
    <t>Luis Munoz (owner)</t>
  </si>
  <si>
    <t>+1 682-227-1670</t>
  </si>
  <si>
    <t>Search 'J Munoz Trucking Fort Worth' on LinkedIn</t>
  </si>
  <si>
    <t>Small family-run hauling company</t>
  </si>
  <si>
    <t>Blakeman Transportation</t>
  </si>
  <si>
    <t>Angela Zapata (broker contact - confirm owner)</t>
  </si>
  <si>
    <t>+1 817-626-3400</t>
  </si>
  <si>
    <t>blakemantransportation.com (verify)</t>
  </si>
  <si>
    <t>Search 'Blakeman Transportation Fort Worth' on LinkedIn</t>
  </si>
  <si>
    <t>Mid-size brokerage, phone-based booking</t>
  </si>
  <si>
    <t>Little Lady Logistics/Towing</t>
  </si>
  <si>
    <t>Jeffery (driver/owner - confirm)</t>
  </si>
  <si>
    <t>+1 904-400-9490</t>
  </si>
  <si>
    <t>Search 'Little Lady Logistics Towing Augusta' on LinkedIn</t>
  </si>
  <si>
    <t>Small towing/logistics operation, phone dispatch</t>
  </si>
  <si>
    <t>Kandel Transport Inc</t>
  </si>
  <si>
    <t>+1 330-798-4111</t>
  </si>
  <si>
    <t>Search 'Kandel Transport Tallmadge Ohio' on LinkedIn</t>
  </si>
  <si>
    <t>Tallmadge, OH</t>
  </si>
  <si>
    <t>Small regional carrier with dock/yard operation</t>
  </si>
  <si>
    <t>Mex-Cal Truckline - San Diego Trucking</t>
  </si>
  <si>
    <t>Fernando (staff - confirm owner)</t>
  </si>
  <si>
    <t>+1 619-661-1234</t>
  </si>
  <si>
    <t>Search 'Mex-Cal Truckline San Diego' on LinkedIn</t>
  </si>
  <si>
    <t>Cross-border drayage yard, phone-based ops</t>
  </si>
  <si>
    <t>Rust &amp; Sons Trucking Inc.</t>
  </si>
  <si>
    <t>+1 619-443-6193</t>
  </si>
  <si>
    <t>Search 'Rust and Sons Trucking San Diego' on LinkedIn</t>
  </si>
  <si>
    <t>El Cajon, CA</t>
  </si>
  <si>
    <t>40-year family-owned earthworks/trucking business</t>
  </si>
  <si>
    <t>Honest Freight</t>
  </si>
  <si>
    <t>Vincent (owner)</t>
  </si>
  <si>
    <t>+1 559-554-1635</t>
  </si>
  <si>
    <t>Search 'Vincent Honest Freight Fresno' on LinkedIn</t>
  </si>
  <si>
    <t>Small owner-led freight brokerage</t>
  </si>
  <si>
    <t>Real Estate NERD Group</t>
  </si>
  <si>
    <t>Edgar Galindo (agent/owner)</t>
  </si>
  <si>
    <t>+1 915-799-6210</t>
  </si>
  <si>
    <t>Search 'Edgar Galindo Real Estate NERD Group' on LinkedIn</t>
  </si>
  <si>
    <t>Small personal-brand shop</t>
  </si>
  <si>
    <t>Coastal Bend Real Estate</t>
  </si>
  <si>
    <t>Trey Teichelman (agent - confirm owner)</t>
  </si>
  <si>
    <t>+1 361-302-1000</t>
  </si>
  <si>
    <t>Search 'Coastal Bend Real Estate Corpus Christi' on LinkedIn</t>
  </si>
  <si>
    <t>Small independent brokerage</t>
  </si>
  <si>
    <t>KM Premier Real Estate</t>
  </si>
  <si>
    <t>+1 361-991-5263</t>
  </si>
  <si>
    <t>Search 'KM Premier Real Estate Corpus Christi' on LinkedIn</t>
  </si>
  <si>
    <t>Small multi-agent independent shop</t>
  </si>
  <si>
    <t>The Street Real Estate Company</t>
  </si>
  <si>
    <t>Rebecca Ringer (agent - confirm owner)</t>
  </si>
  <si>
    <t>+1 469-855-0469</t>
  </si>
  <si>
    <t>Search 'The Street Real Estate Company Arlington' on LinkedIn</t>
  </si>
  <si>
    <t>Arlington, TX</t>
  </si>
  <si>
    <t>Niles Realty Group</t>
  </si>
  <si>
    <t>Kimberly (agent/owner - confirm)</t>
  </si>
  <si>
    <t>+1 817-704-2419</t>
  </si>
  <si>
    <t>Search 'Niles Realty Group Arlington' on LinkedIn</t>
  </si>
  <si>
    <t>Small DFW-area boutique team</t>
  </si>
  <si>
    <t>JS Realty</t>
  </si>
  <si>
    <t>Ji (owner/agent - confirm)</t>
  </si>
  <si>
    <t>+1 214-277-3508</t>
  </si>
  <si>
    <t>Search 'JS Realty Plano' on LinkedIn</t>
  </si>
  <si>
    <t>Sharon Ketko Realty</t>
  </si>
  <si>
    <t>Sharon Ketko (owner)</t>
  </si>
  <si>
    <t>+1 972-841-3110</t>
  </si>
  <si>
    <t>Search 'Sharon Ketko Realty Plano' on LinkedIn</t>
  </si>
  <si>
    <t>Small owner-led team</t>
  </si>
  <si>
    <t>EG Realty</t>
  </si>
  <si>
    <t>Elizabeth (agent - confirm owner)</t>
  </si>
  <si>
    <t>+1 254-218-4220</t>
  </si>
  <si>
    <t>Search 'EG Realty Waco' on LinkedIn</t>
  </si>
  <si>
    <t>Refined Real Estate</t>
  </si>
  <si>
    <t>Aleena (agent/owner - confirm)</t>
  </si>
  <si>
    <t>+1 678-400-4969</t>
  </si>
  <si>
    <t>Search 'Refined Real Estate Athens Georgia' on LinkedIn</t>
  </si>
  <si>
    <t>Small solo-agent shop</t>
  </si>
  <si>
    <t>Kristina Finney Realtor - Keller Williams</t>
  </si>
  <si>
    <t>Kristina Finney (agent/owner)</t>
  </si>
  <si>
    <t>+1 706-992-5192</t>
  </si>
  <si>
    <t>Search 'Kristina Finney Realtor Columbus GA' on LinkedIn</t>
  </si>
  <si>
    <t>McRae &amp; Associates Real Estate Group, Inc.</t>
  </si>
  <si>
    <t>Shanda McRae (owner - confirm spelling)</t>
  </si>
  <si>
    <t>Not public - phone not listed</t>
  </si>
  <si>
    <t>Search 'McRae and Associates Real Estate Marietta' on LinkedIn</t>
  </si>
  <si>
    <t>Marietta, GA</t>
  </si>
  <si>
    <t>The Agency Atlanta - Clareo Group</t>
  </si>
  <si>
    <t>+1 470-990-4414</t>
  </si>
  <si>
    <t>Search 'The Agency Atlanta Clareo Group' on LinkedIn</t>
  </si>
  <si>
    <t>Small multi-agent brokerage</t>
  </si>
  <si>
    <t>The American Dream</t>
  </si>
  <si>
    <t>Chris Russell (broker/owner)</t>
  </si>
  <si>
    <t>+1 229-262-1300</t>
  </si>
  <si>
    <t>Search 'Chris Russell The American Dream Valdosta' on LinkedIn</t>
  </si>
  <si>
    <t>GPS Real Estate Company</t>
  </si>
  <si>
    <t>Chris (agent - confirm owner)</t>
  </si>
  <si>
    <t>+1 229-460-4147</t>
  </si>
  <si>
    <t>Search 'GPS Real Estate Company Valdosta' on LinkedIn</t>
  </si>
  <si>
    <t>The Westheimer Group</t>
  </si>
  <si>
    <t>Laurie Westheimer (owner)</t>
  </si>
  <si>
    <t>+1 937-344-3478</t>
  </si>
  <si>
    <t>Search 'Laurie Westheimer Group Dayton' on LinkedIn</t>
  </si>
  <si>
    <t>Small owner-led boutique team</t>
  </si>
  <si>
    <t>Paolina Quafisi, RE/MAX Alliance Realty</t>
  </si>
  <si>
    <t>Paolina Quafisi (agent/owner)</t>
  </si>
  <si>
    <t>+1 937-672-2504</t>
  </si>
  <si>
    <t>Search 'Paolina Quafisi RE/MAX Dayton' on LinkedIn</t>
  </si>
  <si>
    <t>Annette DePalmo, Realtor</t>
  </si>
  <si>
    <t>Annette DePalmo (owner)</t>
  </si>
  <si>
    <t>+1 330-360-4538</t>
  </si>
  <si>
    <t>Search 'Annette DePalmo Realtor Youngstown' on LinkedIn</t>
  </si>
  <si>
    <t>CENTURY 21 Lakeside Realty</t>
  </si>
  <si>
    <t>+1 330-793-4200</t>
  </si>
  <si>
    <t>Search 'Century 21 Lakeside Realty Youngstown' on LinkedIn</t>
  </si>
  <si>
    <t>Small franchise office, multiple agents</t>
  </si>
  <si>
    <t>Sarah Moon - Dunnigan Realtors</t>
  </si>
  <si>
    <t>Sarah Moon (agent)</t>
  </si>
  <si>
    <t>+1 916-743-4157</t>
  </si>
  <si>
    <t>Search 'Sarah Moon Dunnigan Realtors Sacramento' on LinkedIn</t>
  </si>
  <si>
    <t>Solo-agent under larger brokerage</t>
  </si>
  <si>
    <t>Pacificwide Real Estate &amp; Mortgage</t>
  </si>
  <si>
    <t>Jonathan Pham (HR manager - confirm owner)</t>
  </si>
  <si>
    <t>+1 408-532-1278</t>
  </si>
  <si>
    <t>Search 'Pacificwide Real Estate Mortgage San Jose' on LinkedIn</t>
  </si>
  <si>
    <t>Small combined realty/mortgage shop</t>
  </si>
  <si>
    <t>West Associates, Real Estate Services</t>
  </si>
  <si>
    <t>Heather &amp; David (agents - confirm owner)</t>
  </si>
  <si>
    <t>+1 888-662-8860</t>
  </si>
  <si>
    <t>Search 'West Associates Real Estate Long Beach' on LinkedIn</t>
  </si>
  <si>
    <t>Small husband/wife-led team</t>
  </si>
  <si>
    <t>Ms. Long Beach Real Estate</t>
  </si>
  <si>
    <t>Nikki Howell (agent/owner)</t>
  </si>
  <si>
    <t>+1 562-843-5113</t>
  </si>
  <si>
    <t>Search 'Nikki Howell Ms Long Beach Real Estate' on LinkedIn</t>
  </si>
  <si>
    <t>Meghan Shigo - Realtor</t>
  </si>
  <si>
    <t>Meghan Shigo (owner/agent)</t>
  </si>
  <si>
    <t>+1 714-273-1381</t>
  </si>
  <si>
    <t>Search 'Meghan Shigo Realtor Anaheim' on LinkedIn</t>
  </si>
  <si>
    <t>The Geronsins Real Estate Group</t>
  </si>
  <si>
    <t>George &amp; Carol Geronsin (owners)</t>
  </si>
  <si>
    <t>+1 714-602-3557</t>
  </si>
  <si>
    <t>Search 'Geronsins Real Estate Group Anaheim' on LinkedIn</t>
  </si>
  <si>
    <t>Family-owned team, decades in business</t>
  </si>
  <si>
    <t>Marni Jimenez, Real Estate Agent, Grove Realty</t>
  </si>
  <si>
    <t>Marni Jimenez (agent/owner)</t>
  </si>
  <si>
    <t>+1 951-990-8389</t>
  </si>
  <si>
    <t>Search 'Marni Jimenez Grove Realty Riverside' on LinkedIn</t>
  </si>
  <si>
    <t>Pat Holkesvig - Stockton Real Estate Agent</t>
  </si>
  <si>
    <t>Pat Holkesvig (owner/agent)</t>
  </si>
  <si>
    <t>+1 209-471-0285</t>
  </si>
  <si>
    <t>Search 'Pat Holkesvig Stockton Real Estate' on LinkedIn</t>
  </si>
  <si>
    <t>Randy Thomas Real Estate Broker</t>
  </si>
  <si>
    <t>Randy Thomas (owner/broker)</t>
  </si>
  <si>
    <t>+1 209-810-8830</t>
  </si>
  <si>
    <t>Search 'Randy Thomas Real Estate Broker Stockton' on LinkedIn</t>
  </si>
  <si>
    <t>Solo-broker personal brand</t>
  </si>
  <si>
    <t>Erives Enterprises Inc</t>
  </si>
  <si>
    <t>Cesar (contact - confirm owner)</t>
  </si>
  <si>
    <t>+1 915-881-1749</t>
  </si>
  <si>
    <t>Search 'Erives Enterprises El Paso' on LinkedIn</t>
  </si>
  <si>
    <t>Small freight brokerage, phone-based booking</t>
  </si>
  <si>
    <t>Ayat Logistics</t>
  </si>
  <si>
    <t>+1 817-460-0002</t>
  </si>
  <si>
    <t>Search 'Ayat Logistics Arlington Texas' on LinkedIn</t>
  </si>
  <si>
    <t>Small trucking/repair operation</t>
  </si>
  <si>
    <t>Bancroft and Sons Transportation LLC</t>
  </si>
  <si>
    <t>+1 972-790-3777</t>
  </si>
  <si>
    <t>Search 'Bancroft and Sons Transportation' on LinkedIn</t>
  </si>
  <si>
    <t>Grand Prairie, TX</t>
  </si>
  <si>
    <t>Wes Hillin Trucking, LLC</t>
  </si>
  <si>
    <t>Wes &amp; Christi Hillin (owners)</t>
  </si>
  <si>
    <t>+1 254-366-3941</t>
  </si>
  <si>
    <t>Search 'Wes Hillin Trucking Waco' on LinkedIn</t>
  </si>
  <si>
    <t>China Spring, TX</t>
  </si>
  <si>
    <t>Family-owned auto-hauling business</t>
  </si>
  <si>
    <t>Sky Bird Logistics, LLC</t>
  </si>
  <si>
    <t>Donovan Smith (owner)</t>
  </si>
  <si>
    <t>+1 404-835-0750</t>
  </si>
  <si>
    <t>Search 'Donovan Smith Sky Bird Logistics' on LinkedIn</t>
  </si>
  <si>
    <t>Smyrna, GA</t>
  </si>
  <si>
    <t>Owner-operated dump truck/hauling company</t>
  </si>
  <si>
    <t>We Know Logistics, LLC</t>
  </si>
  <si>
    <t>+1 770-410-8290</t>
  </si>
  <si>
    <t>Search 'We Know Logistics Acworth Georgia' on LinkedIn</t>
  </si>
  <si>
    <t>Acworth, GA</t>
  </si>
  <si>
    <t>Small hotshot/flatbed brokerage</t>
  </si>
  <si>
    <t>King's Transfer</t>
  </si>
  <si>
    <t>+1 937-254-6441</t>
  </si>
  <si>
    <t>Search "King's Transfer Dayton Ohio" on LinkedIn</t>
  </si>
  <si>
    <t>Small family-run crossdock/logistics operation</t>
  </si>
  <si>
    <t>Platinum Express</t>
  </si>
  <si>
    <t>+1 937-235-9589</t>
  </si>
  <si>
    <t>Search 'Platinum Express Dayton Ohio' on LinkedIn</t>
  </si>
  <si>
    <t>R&amp;J Trucking Inc</t>
  </si>
  <si>
    <t>Brian Muzer (dispatcher - confirm owner)</t>
  </si>
  <si>
    <t>+1 330-758-0841</t>
  </si>
  <si>
    <t>Search 'R&amp;J Trucking Youngstown Ohio' on LinkedIn</t>
  </si>
  <si>
    <t>Small regional dump-truck carrier</t>
  </si>
  <si>
    <t>Baytrans Inc.</t>
  </si>
  <si>
    <t>+1 704-759-6920</t>
  </si>
  <si>
    <t>Search 'Baytrans Inc Sacramento' on LinkedIn</t>
  </si>
  <si>
    <t>Small bilingual family-run carrier</t>
  </si>
  <si>
    <t>Craters &amp; Freighters Bay Area</t>
  </si>
  <si>
    <t>Wil Cannon / Monty S. (staff - confirm owner)</t>
  </si>
  <si>
    <t>+1 408-392-9722</t>
  </si>
  <si>
    <t>Search 'Craters and Freighters Bay Area' on LinkedIn</t>
  </si>
  <si>
    <t>Small specialty crating/freight shop</t>
  </si>
  <si>
    <t>Three Rivers Trucking Inc</t>
  </si>
  <si>
    <t>+1 562-432-0628</t>
  </si>
  <si>
    <t>Search 'Three Rivers Trucking Long Beach' on LinkedIn</t>
  </si>
  <si>
    <t>Dock/receiving operation, phone-based scheduling</t>
  </si>
  <si>
    <t>Shore Logistics</t>
  </si>
  <si>
    <t>+1 310-355-8338</t>
  </si>
  <si>
    <t>Search 'Shore Logistics Long Beach' on LinkedIn</t>
  </si>
  <si>
    <t>Small freight brokerage, rep-based service</t>
  </si>
  <si>
    <t>S.F. Enterprises</t>
  </si>
  <si>
    <t>+1 510-251-2773</t>
  </si>
  <si>
    <t>Search 'SF Enterprises Oakland shipping' on LinkedIn</t>
  </si>
  <si>
    <t>Oakland, CA</t>
  </si>
  <si>
    <t>Small Pacific Islands freight-forwarding shop</t>
  </si>
  <si>
    <t>Modern Express | Courier &amp; Logistics</t>
  </si>
  <si>
    <t>Angel (staff - confirm owner)</t>
  </si>
  <si>
    <t>+1 800-400-7874</t>
  </si>
  <si>
    <t>Search 'Modern Express Courier Logistics Oakland' on LinkedIn</t>
  </si>
  <si>
    <t>Small courier/logistics shop, phone dispatch</t>
  </si>
  <si>
    <t>Platinum Enterprises</t>
  </si>
  <si>
    <t>Victor / Michelle (staff - confirm owner)</t>
  </si>
  <si>
    <t>+1 951-684-3444</t>
  </si>
  <si>
    <t>Search 'Platinum Enterprises Riverside towing' on LinkedIn</t>
  </si>
  <si>
    <t>Small towing/container transport shop</t>
  </si>
  <si>
    <t>Silva Trucking Inc.</t>
  </si>
  <si>
    <t>+1 209-982-1114</t>
  </si>
  <si>
    <t>Search 'Silva Trucking French Camp California' on LinkedIn</t>
  </si>
  <si>
    <t>French Camp, CA</t>
  </si>
  <si>
    <t>Small private carrier yard</t>
  </si>
  <si>
    <t>System Transport</t>
  </si>
  <si>
    <t>+1 209-983-3814</t>
  </si>
  <si>
    <t>Search 'System Transport French Camp California' on LinkedIn</t>
  </si>
  <si>
    <t>Small regional carrier with shop facility</t>
  </si>
  <si>
    <t>Executive Realty</t>
  </si>
  <si>
    <t>+1 806-679-4206</t>
  </si>
  <si>
    <t>Search 'Executive Realty Amarillo' on LinkedIn</t>
  </si>
  <si>
    <t>Small independent brokerage, mixed reviews</t>
  </si>
  <si>
    <t>Realty Refined Lubbock - The Scott Toman Team</t>
  </si>
  <si>
    <t>Scott Toman (owner/agent)</t>
  </si>
  <si>
    <t>+1 806-787-6571</t>
  </si>
  <si>
    <t>Search 'Scott Toman Realty Refined Lubbock' on LinkedIn</t>
  </si>
  <si>
    <t>Small owner-led team, smallest of the Lubbock options</t>
  </si>
  <si>
    <t>Kerri Reynolds RE/MAX Real Estate Agency</t>
  </si>
  <si>
    <t>Kerri Reynolds (agent/owner)</t>
  </si>
  <si>
    <t>+1 409-383-3787</t>
  </si>
  <si>
    <t>Search 'Kerri Reynolds RE/MAX Beaumont' on LinkedIn</t>
  </si>
  <si>
    <t>Prolific Realty LLC</t>
  </si>
  <si>
    <t>Alexis White / Felicia Williams (agents - confirm owner)</t>
  </si>
  <si>
    <t>+1 254-702-5332</t>
  </si>
  <si>
    <t>Search 'Prolific Realty Killeen' on LinkedIn</t>
  </si>
  <si>
    <t>All Star Property Group - Keller Williams Realty</t>
  </si>
  <si>
    <t>Trinie Davis (agent - confirm owner)</t>
  </si>
  <si>
    <t>+1 706-676-2425</t>
  </si>
  <si>
    <t>Search 'Trinie Davis All Star Property Group Rome' on LinkedIn</t>
  </si>
  <si>
    <t>Small two-agent KW team</t>
  </si>
  <si>
    <t>Prestige Home Brokers</t>
  </si>
  <si>
    <t>Christie (agent/owner - confirm)</t>
  </si>
  <si>
    <t>+1 678-747-9930</t>
  </si>
  <si>
    <t>Search 'Prestige Home Brokers Rome Georgia' on LinkedIn</t>
  </si>
  <si>
    <t>Dani Burns</t>
  </si>
  <si>
    <t>Dani Burns (owner/agent)</t>
  </si>
  <si>
    <t>+1 706-455-3076</t>
  </si>
  <si>
    <t>Search 'Dani Burns Realtor Gainesville Georgia' on LinkedIn</t>
  </si>
  <si>
    <t>CCR Realtors - Lima</t>
  </si>
  <si>
    <t>+1 419-222-0555</t>
  </si>
  <si>
    <t>Search 'CCR Realtors Lima Ohio' on LinkedIn</t>
  </si>
  <si>
    <t>Cowan Realtors - Lima, Ohio Real Estate Office</t>
  </si>
  <si>
    <t>+1 419-222-1212</t>
  </si>
  <si>
    <t>Search 'Cowan Realtors Lima Ohio' on LinkedIn</t>
  </si>
  <si>
    <t>Small independent local brokerage</t>
  </si>
  <si>
    <t>Always Sunny Realty</t>
  </si>
  <si>
    <t>Sunny (owner/broker)</t>
  </si>
  <si>
    <t>+1 937-505-9233</t>
  </si>
  <si>
    <t>Search 'Always Sunny Realty Springfield Ohio' on LinkedIn</t>
  </si>
  <si>
    <t>Springfield, OH</t>
  </si>
  <si>
    <t>Owner-led personal-brand brokerage</t>
  </si>
  <si>
    <t>Alison North, The Avenue Group, Glasshouse Realty</t>
  </si>
  <si>
    <t>Alison North (agent)</t>
  </si>
  <si>
    <t>+1 937-206-2273</t>
  </si>
  <si>
    <t>Search 'Alison North Glasshouse Realty Springfield' on LinkedIn</t>
  </si>
  <si>
    <t>Solo-agent under small team</t>
  </si>
  <si>
    <t>Jax Transport LLC</t>
  </si>
  <si>
    <t>Shane (owner)</t>
  </si>
  <si>
    <t>+1 806-355-1463</t>
  </si>
  <si>
    <t>Search 'Jax Transport Amarillo' on LinkedIn</t>
  </si>
  <si>
    <t>Family-run regional carrier, driver-recruitment focused</t>
  </si>
  <si>
    <t>Booker Transportation Services, Inc.</t>
  </si>
  <si>
    <t>+1 866-843-6663</t>
  </si>
  <si>
    <t>Search 'Booker Transportation Services Amarillo' on LinkedIn</t>
  </si>
  <si>
    <t>Owner-operator-focused small carrier</t>
  </si>
  <si>
    <t>Garddy Trucking &amp; Services LLC</t>
  </si>
  <si>
    <t>Garddy (owner)</t>
  </si>
  <si>
    <t>+1 409-543-7738</t>
  </si>
  <si>
    <t>Search 'Garddy Trucking and Services Beaumont' on LinkedIn</t>
  </si>
  <si>
    <t>Small owner-led dispatch/hauling company</t>
  </si>
  <si>
    <t>PBC Moving And Trucking LLC</t>
  </si>
  <si>
    <t>+1 254-393-4343</t>
  </si>
  <si>
    <t>Search 'PBC Moving and Trucking Killeen' on LinkedIn</t>
  </si>
  <si>
    <t>Small moving/trucking combo operation</t>
  </si>
  <si>
    <t>Mc Guire Transportation</t>
  </si>
  <si>
    <t>+1 254-791-1003</t>
  </si>
  <si>
    <t>Search 'Mc Guire Transportation Temple Texas' on LinkedIn</t>
  </si>
  <si>
    <t>Temple, TX</t>
  </si>
  <si>
    <t>Small regional aggregate/freight carrier</t>
  </si>
  <si>
    <t>Josh Roberts Trucking</t>
  </si>
  <si>
    <t>+1 706-235-7795</t>
  </si>
  <si>
    <t>Search 'Josh Roberts Trucking Rome Georgia' on LinkedIn</t>
  </si>
  <si>
    <t>Family-owned carrier with own repair shop</t>
  </si>
  <si>
    <t>Landmark Logistics, Inc</t>
  </si>
  <si>
    <t>Greg Fullaney (rep - confirm owner)</t>
  </si>
  <si>
    <t>+1 888-531-5414</t>
  </si>
  <si>
    <t>Search 'Landmark Logistics Gainesville Georgia' on LinkedIn</t>
  </si>
  <si>
    <t>Small freight brokerage, rep-based relationships</t>
  </si>
  <si>
    <t>Woodruff Enterprises</t>
  </si>
  <si>
    <t>+1 937-399-9300</t>
  </si>
  <si>
    <t>Search 'Woodruff Enterprises Springfield Ohio' on LinkedIn</t>
  </si>
  <si>
    <t>Small warehouse/carrier operation</t>
  </si>
  <si>
    <t>All Good Real Estate, LLC.</t>
  </si>
  <si>
    <t>Phyllis (agent - confirm owner)</t>
  </si>
  <si>
    <t>+1 919-378-1112</t>
  </si>
  <si>
    <t>Search 'All Good Real Estate Raleigh' on LinkedIn</t>
  </si>
  <si>
    <t>Village Real Estate</t>
  </si>
  <si>
    <t>+1 615-383-6964</t>
  </si>
  <si>
    <t>Search 'Village Real Estate Nashville' on LinkedIn</t>
  </si>
  <si>
    <t>The Miles Team with Compass Tennessee, LLC</t>
  </si>
  <si>
    <t>Rebekah Bell Sampson (agent - confirm owner)</t>
  </si>
  <si>
    <t>+1 615-375-3575</t>
  </si>
  <si>
    <t>Search 'The Miles Team Compass Nashville' on LinkedIn</t>
  </si>
  <si>
    <t>Layson Group - Keller Williams Memphis</t>
  </si>
  <si>
    <t>+1 901-213-7866</t>
  </si>
  <si>
    <t>Search 'Layson Group Keller Williams Memphis' on LinkedIn</t>
  </si>
  <si>
    <t>Small KW team</t>
  </si>
  <si>
    <t>Living in Phoenix Arizona</t>
  </si>
  <si>
    <t>Greg (agent/owner - confirm)</t>
  </si>
  <si>
    <t>+1 602-734-7263</t>
  </si>
  <si>
    <t>Search 'Greg Living in Phoenix Arizona Realtor' on LinkedIn</t>
  </si>
  <si>
    <t>Phoenix, AZ</t>
  </si>
  <si>
    <t>Solo-agent personal brand, YouTube-driven leads</t>
  </si>
  <si>
    <t>Phoenix Real Estate Group</t>
  </si>
  <si>
    <t>Earl / Bryan (agents - confirm owner)</t>
  </si>
  <si>
    <t>+1 480-590-6051</t>
  </si>
  <si>
    <t>Search 'Phoenix Real Estate Group' on LinkedIn</t>
  </si>
  <si>
    <t>Small close-knit team</t>
  </si>
  <si>
    <t>WOW Real Estate</t>
  </si>
  <si>
    <t>+1 520-276-9060</t>
  </si>
  <si>
    <t>Search 'WOW Real Estate Tucson' on LinkedIn</t>
  </si>
  <si>
    <t>Lana Cole | Your Naperville Real Estate Expert</t>
  </si>
  <si>
    <t>Lana Cole (owner/agent)</t>
  </si>
  <si>
    <t>+1 630-903-4468</t>
  </si>
  <si>
    <t>Search 'Lana Cole Naperville Real Estate' on LinkedIn</t>
  </si>
  <si>
    <t>ELE Logistics, Inc.</t>
  </si>
  <si>
    <t>+1 704-579-5677</t>
  </si>
  <si>
    <t>Search 'ELE Logistics Charlotte' on LinkedIn</t>
  </si>
  <si>
    <t>Small owner-operator-focused carrier</t>
  </si>
  <si>
    <t>Craters &amp; Freighters Raleigh</t>
  </si>
  <si>
    <t>Ashley (staff - confirm owner)</t>
  </si>
  <si>
    <t>+1 919-662-7283</t>
  </si>
  <si>
    <t>Search 'Craters and Freighters Raleigh' on LinkedIn</t>
  </si>
  <si>
    <t>Sadler Brothers Trucking</t>
  </si>
  <si>
    <t>Chris Sadler (owner)</t>
  </si>
  <si>
    <t>+1 615-256-4911</t>
  </si>
  <si>
    <t>Search 'Chris Sadler Sadler Brothers Trucking' on LinkedIn</t>
  </si>
  <si>
    <t>Cooper Freight Service, Inc</t>
  </si>
  <si>
    <t>Josh (contact - confirm owner)</t>
  </si>
  <si>
    <t>+1 901-775-5007</t>
  </si>
  <si>
    <t>Search 'Cooper Freight Service Memphis' on LinkedIn</t>
  </si>
  <si>
    <t>Small family-run freight carrier</t>
  </si>
  <si>
    <t>Tripp Logistics LLC</t>
  </si>
  <si>
    <t>Shawn (owner)</t>
  </si>
  <si>
    <t>+1 901-219-9644</t>
  </si>
  <si>
    <t>Search 'Shawn Tripp Logistics Memphis' on LinkedIn</t>
  </si>
  <si>
    <t>Small owner-led crossdock/logistics shop</t>
  </si>
  <si>
    <t>Easley Transportation</t>
  </si>
  <si>
    <t>Tierra (staff - confirm owner)</t>
  </si>
  <si>
    <t>+1 901-362-5152</t>
  </si>
  <si>
    <t>Search 'Easley Transportation Memphis' on LinkedIn</t>
  </si>
  <si>
    <t>Small regional carrier with storage yard</t>
  </si>
  <si>
    <t>Stewart Transport</t>
  </si>
  <si>
    <t>+1 602-242-1800</t>
  </si>
  <si>
    <t>Search 'Stewart Transport Phoenix' on LinkedIn</t>
  </si>
  <si>
    <t>Small specialty vehicle-hauling carrier</t>
  </si>
  <si>
    <t>Shippers Preferred Express, Inc.</t>
  </si>
  <si>
    <t>Alex (dispatch - confirm owner)</t>
  </si>
  <si>
    <t>+1 602-278-6004</t>
  </si>
  <si>
    <t>Search 'Shippers Preferred Express Phoenix' on LinkedIn</t>
  </si>
  <si>
    <t>Small step-deck/flatbed carrier</t>
  </si>
  <si>
    <t>Grasshopper Trans</t>
  </si>
  <si>
    <t>+1 312-724-8400</t>
  </si>
  <si>
    <t>Search 'Grasshopper Trans Chicago' on LinkedIn</t>
  </si>
  <si>
    <t>Chicago, IL</t>
  </si>
  <si>
    <t>Sargent Logistics - Cross Dock, Warehousing</t>
  </si>
  <si>
    <t>+1 773-816-5899</t>
  </si>
  <si>
    <t>Search 'Sargent Logistics Chicago' on LinkedIn</t>
  </si>
  <si>
    <t>Small crossdock/warehousing operation</t>
  </si>
  <si>
    <t>Freightech Inc</t>
  </si>
  <si>
    <t>Aleck (owner)</t>
  </si>
  <si>
    <t>+1 708-526-2130</t>
  </si>
  <si>
    <t>Search 'Aleck Freightech Romeoville Illinois' on LinkedIn</t>
  </si>
  <si>
    <t>Romeoville, IL</t>
  </si>
  <si>
    <t>Small owner-led carrier, family-feel per reviews</t>
  </si>
  <si>
    <t>The Delivery Authority</t>
  </si>
  <si>
    <t>Whitney (ops - confirm owner)</t>
  </si>
  <si>
    <t>+1 630-893-7100</t>
  </si>
  <si>
    <t>Search 'The Delivery Authority Naperville' on LinkedIn</t>
  </si>
  <si>
    <t>Small last-mile delivery/dispatch company</t>
  </si>
  <si>
    <t>Ivan and Mike Team | Luxury Real Estate Experts</t>
  </si>
  <si>
    <t>Ivan / Mike (team leads - confirm)</t>
  </si>
  <si>
    <t>+1 305-877-5236</t>
  </si>
  <si>
    <t>Search 'Ivan and Mike Team Miami' on LinkedIn</t>
  </si>
  <si>
    <t>Miami, FL</t>
  </si>
  <si>
    <t>Small luxury boutique team</t>
  </si>
  <si>
    <t>Miami Real Estate - The Coden Ferraro Group</t>
  </si>
  <si>
    <t>Daniela / Jack Coden (agents - confirm owner)</t>
  </si>
  <si>
    <t>+1 305-742-5225</t>
  </si>
  <si>
    <t>Search 'Coden Ferraro Group Miami' on LinkedIn</t>
  </si>
  <si>
    <t>Small independent team</t>
  </si>
  <si>
    <t>Sebastian Acosta, Realtor in Miami</t>
  </si>
  <si>
    <t>Sebastian Acosta (owner/agent)</t>
  </si>
  <si>
    <t>+1 305-244-6222</t>
  </si>
  <si>
    <t>Search 'Sebastian Acosta Realtor Miami' on LinkedIn</t>
  </si>
  <si>
    <t>Riley Smith Group</t>
  </si>
  <si>
    <t>Riley Smith / Anthony (agents - confirm owner)</t>
  </si>
  <si>
    <t>+1 305-342-1623</t>
  </si>
  <si>
    <t>Search 'Riley Smith Group Miami' on LinkedIn</t>
  </si>
  <si>
    <t>Small boutique team</t>
  </si>
  <si>
    <t>HAUS Real Estate</t>
  </si>
  <si>
    <t>Hollie Gondera (agent - confirm owner)</t>
  </si>
  <si>
    <t>+1 407-448-3141</t>
  </si>
  <si>
    <t>Search 'Hollie Gondera HAUS Real Estate Orlando' on LinkedIn</t>
  </si>
  <si>
    <t>Orlando, FL</t>
  </si>
  <si>
    <t>Small personal-brand boutique</t>
  </si>
  <si>
    <t>ALL Real Estate and Investments</t>
  </si>
  <si>
    <t>Laura / Stacia (agents - confirm owner)</t>
  </si>
  <si>
    <t>+1 407-757-4429</t>
  </si>
  <si>
    <t>Search 'ALL Real Estate and Investments Orlando' on LinkedIn</t>
  </si>
  <si>
    <t>Campbell Real Estate Group at Atlantic Sotheby's</t>
  </si>
  <si>
    <t>Janis and Claire Campbell (owners)</t>
  </si>
  <si>
    <t>+1 757-284-8248</t>
  </si>
  <si>
    <t>Search 'Campbell Real Estate Group Norfolk' on LinkedIn</t>
  </si>
  <si>
    <t>Norfolk, VA</t>
  </si>
  <si>
    <t>Small mother/daughter-led team</t>
  </si>
  <si>
    <t>Emily Berry | Chesapeake, VA Real Estate Agent</t>
  </si>
  <si>
    <t>Emily Berry (owner/agent)</t>
  </si>
  <si>
    <t>+1 757-933-3022</t>
  </si>
  <si>
    <t>Search 'Emily Berry Realtor Chesapeake' on LinkedIn</t>
  </si>
  <si>
    <t>LUX Real Estate Company ERA Powered</t>
  </si>
  <si>
    <t>Tanya / Tom Sagona (agents - confirm owner)</t>
  </si>
  <si>
    <t>+1 303-952-5078</t>
  </si>
  <si>
    <t>Search 'LUX Real Estate Company Denver' on LinkedIn</t>
  </si>
  <si>
    <t>Denver, CO</t>
  </si>
  <si>
    <t>Blue Picket Realty</t>
  </si>
  <si>
    <t>Katie / Alberto (agents - confirm owner)</t>
  </si>
  <si>
    <t>+1 719-357-7653</t>
  </si>
  <si>
    <t>Search 'Blue Picket Realty Colorado Springs' on LinkedIn</t>
  </si>
  <si>
    <t>Colorado Springs, CO</t>
  </si>
  <si>
    <t>Katrina Eileen</t>
  </si>
  <si>
    <t>+1 206-279-9944</t>
  </si>
  <si>
    <t>Search 'Katrina Eileen Real Estate Seattle' on LinkedIn</t>
  </si>
  <si>
    <t>Seattle, WA</t>
  </si>
  <si>
    <t>Ensemble</t>
  </si>
  <si>
    <t>Kale Corey / Todd (agents - confirm owner)</t>
  </si>
  <si>
    <t>+1 206-999-2568</t>
  </si>
  <si>
    <t>Search 'Ensemble Real Estate Seattle' on LinkedIn</t>
  </si>
  <si>
    <t>Very small boutique team, low review count</t>
  </si>
  <si>
    <t>Dustin Cramer | Spokane Real Estate Agent</t>
  </si>
  <si>
    <t>Dustin Cramer (owner/agent)</t>
  </si>
  <si>
    <t>+1 509-263-1870</t>
  </si>
  <si>
    <t>Search 'Dustin Cramer Spokane Real Estate' on LinkedIn</t>
  </si>
  <si>
    <t>Spokane, WA</t>
  </si>
  <si>
    <t>Dream Team Realtors</t>
  </si>
  <si>
    <t>+1 509-279-0251</t>
  </si>
  <si>
    <t>Search 'Dream Team Realtors Spokane' on LinkedIn</t>
  </si>
  <si>
    <t>Smart Transport Inc</t>
  </si>
  <si>
    <t>Zeena and Roger (owners)</t>
  </si>
  <si>
    <t>+1 786-286-9669</t>
  </si>
  <si>
    <t>Search 'Smart Transport Inc Hialeah' on LinkedIn</t>
  </si>
  <si>
    <t>Hialeah, FL</t>
  </si>
  <si>
    <t>Unique Trucking Express</t>
  </si>
  <si>
    <t>Luis (owner - confirm)</t>
  </si>
  <si>
    <t>+1 305-836-7080</t>
  </si>
  <si>
    <t>Search 'Unique Trucking Express Miami' on LinkedIn</t>
  </si>
  <si>
    <t>QuickLoad Inc.</t>
  </si>
  <si>
    <t>Ana / Diego (staff - confirm owner)</t>
  </si>
  <si>
    <t>+1 305-827-0001</t>
  </si>
  <si>
    <t>Search 'QuickLoad Inc Miami' on LinkedIn</t>
  </si>
  <si>
    <t>Small freight brokerage, port drayage focus</t>
  </si>
  <si>
    <t>Lisma Logistics Inc.</t>
  </si>
  <si>
    <t>+1 954-665-6655</t>
  </si>
  <si>
    <t>Search 'Lisma Logistics Orlando' on LinkedIn</t>
  </si>
  <si>
    <t>7 ACE Logistics Company | Freight Broker</t>
  </si>
  <si>
    <t>Debora (staff - confirm owner)</t>
  </si>
  <si>
    <t>+1 914-359-2067</t>
  </si>
  <si>
    <t>Search '7 ACE Logistics Company Orlando' on LinkedIn</t>
  </si>
  <si>
    <t>Very small freight brokerage</t>
  </si>
  <si>
    <t>Orlando Mainfreight Transport</t>
  </si>
  <si>
    <t>+1 689-348-7556</t>
  </si>
  <si>
    <t>Search 'Orlando Mainfreight Transport' on LinkedIn</t>
  </si>
  <si>
    <t>Small regional freight depot</t>
  </si>
  <si>
    <t>DSW Freight Carriers, Inc.</t>
  </si>
  <si>
    <t>+1 804-596-3100</t>
  </si>
  <si>
    <t>Search 'DSW Freight Carriers Richmond' on LinkedIn</t>
  </si>
  <si>
    <t>Richmond, VA</t>
  </si>
  <si>
    <t>Bill's Trucking</t>
  </si>
  <si>
    <t>Bill (owner)</t>
  </si>
  <si>
    <t>+1 804-275-9919</t>
  </si>
  <si>
    <t>Search "Bill's Trucking Richmond Virginia" on LinkedIn</t>
  </si>
  <si>
    <t>Small family-owned carrier</t>
  </si>
  <si>
    <t>Carroll Trucking Inc.</t>
  </si>
  <si>
    <t>+1 757-853-1170</t>
  </si>
  <si>
    <t>Search 'Carroll Trucking Norfolk' on LinkedIn</t>
  </si>
  <si>
    <t>Small warehouse/drayage carrier</t>
  </si>
  <si>
    <t>GEESE Logistics</t>
  </si>
  <si>
    <t>+1 757-491-8400</t>
  </si>
  <si>
    <t>Search 'GEESE Logistics Norfolk' on LinkedIn</t>
  </si>
  <si>
    <t>Small carrier, communication pain points in reviews</t>
  </si>
  <si>
    <t>Sovereign Freight Brokers</t>
  </si>
  <si>
    <t>+1 757-621-4232</t>
  </si>
  <si>
    <t>Search 'Sovereign Freight Brokers Norfolk' on LinkedIn</t>
  </si>
  <si>
    <t>On The Clock Logistics</t>
  </si>
  <si>
    <t>Will (owner)</t>
  </si>
  <si>
    <t>+1 303-285-9555</t>
  </si>
  <si>
    <t>Search 'On The Clock Logistics Denver' on LinkedIn</t>
  </si>
  <si>
    <t>Small owner-led courier/logistics shop</t>
  </si>
  <si>
    <t>Wanda and Ethan (staff - confirm owner)</t>
  </si>
  <si>
    <t>+1 719-633-2988</t>
  </si>
  <si>
    <t>Search 'Navis Pack and Ship Colorado Springs' on LinkedIn</t>
  </si>
  <si>
    <t>Flintstone trucking LLC</t>
  </si>
  <si>
    <t>Ash (staff - confirm owner)</t>
  </si>
  <si>
    <t>+1 206-234-2242</t>
  </si>
  <si>
    <t>Search 'Flintstone Trucking Seattle' on LinkedIn</t>
  </si>
  <si>
    <t>Small drayage/moving carrier</t>
  </si>
  <si>
    <t>Morning Star Transport, LLC</t>
  </si>
  <si>
    <t>John (owner)</t>
  </si>
  <si>
    <t>+1 206-455-7775</t>
  </si>
  <si>
    <t>Search 'Morning Star Transport Seattle' on LinkedIn</t>
  </si>
  <si>
    <t>Small owner-led transload facility</t>
  </si>
  <si>
    <t>Long Road Transportation LLC</t>
  </si>
  <si>
    <t>Vitaly and Eduardo (staff - confirm owner)</t>
  </si>
  <si>
    <t>+1 425-800-4609</t>
  </si>
  <si>
    <t>Search 'Long Road Transportation Kent Washington' on LinkedIn</t>
  </si>
  <si>
    <t>Kent, WA</t>
  </si>
  <si>
    <t>Small drayage/warehouse carrier</t>
  </si>
  <si>
    <t>Evergreen Shippers, LLC</t>
  </si>
  <si>
    <t>Konstantine (owner)</t>
  </si>
  <si>
    <t>+1 509-321-4380</t>
  </si>
  <si>
    <t>Search 'Konstantine Evergreen Shippers Spokane' on LinkedIn</t>
  </si>
  <si>
    <t>Realtyflo Inc (Downtown Realty)</t>
  </si>
  <si>
    <t>Larry Else (Principal Broker)</t>
  </si>
  <si>
    <t>+1 313-466-7253</t>
  </si>
  <si>
    <t>realtyflo.com</t>
  </si>
  <si>
    <t>linkedin.com/in/realtyflo</t>
  </si>
  <si>
    <t>Detroit, MI</t>
  </si>
  <si>
    <t>Already digitally advanced (Zillow Showcase, AI marketing) - lower-priority automation-gap lead</t>
  </si>
  <si>
    <t>Not a strong automation-gap fit - already tech-forward; keep for reference</t>
  </si>
  <si>
    <t>Nika &amp; Co</t>
  </si>
  <si>
    <t>Nika (owner - confirm)</t>
  </si>
  <si>
    <t>+1 313-858-6580</t>
  </si>
  <si>
    <t>Search 'Nika and Co Detroit Real Estate' on LinkedIn</t>
  </si>
  <si>
    <t>The Patrick Campbell Team at Compass</t>
  </si>
  <si>
    <t>Patrick Campbell (agent - confirm owner)</t>
  </si>
  <si>
    <t>+1 215-828-6558</t>
  </si>
  <si>
    <t>Search 'Patrick Campbell Team Compass Philadelphia' on LinkedIn</t>
  </si>
  <si>
    <t>Philadelphia, PA</t>
  </si>
  <si>
    <t>Small team under Compass brand</t>
  </si>
  <si>
    <t>Philadelphia Home Collective</t>
  </si>
  <si>
    <t>Kristin McFeely / Zoe (agents - confirm owner)</t>
  </si>
  <si>
    <t>+1 215-620-8726</t>
  </si>
  <si>
    <t>Search 'Philadelphia Home Collective' on LinkedIn</t>
  </si>
  <si>
    <t>FY TRUCKING CO</t>
  </si>
  <si>
    <t>+1 267-702-0106</t>
  </si>
  <si>
    <t>Search 'FY Trucking Co Upper Chichester PA' on LinkedIn</t>
  </si>
  <si>
    <t>Upper Chichester, PA</t>
  </si>
  <si>
    <t>Galasso Trucking Services</t>
  </si>
  <si>
    <t>+1 215-535-4731</t>
  </si>
  <si>
    <t>Search 'Galasso Trucking Services Philadelphia' on LinkedIn</t>
  </si>
  <si>
    <t>Small family carrier, phone-based ops</t>
  </si>
  <si>
    <t>US Cargo Inc</t>
  </si>
  <si>
    <t>+1 412-458-0071</t>
  </si>
  <si>
    <t>Search 'US Cargo Inc Pittsburgh' on LinkedIn</t>
  </si>
  <si>
    <t>Pittsburgh, PA</t>
  </si>
  <si>
    <t>VSF Transportation</t>
  </si>
  <si>
    <t>Al (contact - confirm owner)</t>
  </si>
  <si>
    <t>+1 616-530-0005</t>
  </si>
  <si>
    <t>Search 'VSF Transportation Grand Rapids' on LinkedIn</t>
  </si>
  <si>
    <t>Grand Rapids, MI</t>
  </si>
  <si>
    <t>TFWW Grand Rapids</t>
  </si>
  <si>
    <t>Carolyn / Michelle (staff - confirm owner)</t>
  </si>
  <si>
    <t>+1 616-459-7715</t>
  </si>
  <si>
    <t>Search 'TFWW Grand Rapids' - likely TForce Worldwide franchise location</t>
  </si>
  <si>
    <t>Search 'TFWW Grand Rapids' on LinkedIn</t>
  </si>
  <si>
    <t>Small franchise freight location</t>
  </si>
  <si>
    <t>Roth Trucking Inc</t>
  </si>
  <si>
    <t>+1 800-522-7684</t>
  </si>
  <si>
    <t>Search 'Roth Trucking Grand Rapids' on LinkedIn</t>
  </si>
  <si>
    <t>Call Status</t>
  </si>
  <si>
    <t>Attempts</t>
  </si>
  <si>
    <t>Last Contact Date</t>
  </si>
  <si>
    <t>Next Follow-up Date</t>
  </si>
  <si>
    <t>Assigned Rep</t>
  </si>
  <si>
    <t>Outcome Notes</t>
  </si>
  <si>
    <t>Company Name</t>
  </si>
  <si>
    <t>State</t>
  </si>
  <si>
    <t>Employee Size Bracket</t>
  </si>
  <si>
    <t>Founded</t>
  </si>
  <si>
    <t>Description</t>
  </si>
  <si>
    <t>Notes</t>
  </si>
  <si>
    <t>Lonestar Transportation LLC</t>
  </si>
  <si>
    <t>TX</t>
  </si>
  <si>
    <t>201-500</t>
  </si>
  <si>
    <t>Truckload carrier</t>
  </si>
  <si>
    <t>Not public - verify on call</t>
  </si>
  <si>
    <t>Search 'Lonestar Transportation LLC Texas' on LinkedIn</t>
  </si>
  <si>
    <t>Verify contact details - sourced via Indeed company size data, not GBP</t>
  </si>
  <si>
    <t>Empire Truck Lines</t>
  </si>
  <si>
    <t>Trucking and logistics carrier</t>
  </si>
  <si>
    <t>Search 'Empire Truck Lines Texas' on LinkedIn</t>
  </si>
  <si>
    <t>Verify contact details</t>
  </si>
  <si>
    <t>Palletized Trucking</t>
  </si>
  <si>
    <t>Search 'Palletized Trucking Texas' on LinkedIn</t>
  </si>
  <si>
    <t>Butler Transport</t>
  </si>
  <si>
    <t>51-200</t>
  </si>
  <si>
    <t>Regional trucking carrier</t>
  </si>
  <si>
    <t>Search 'Butler Transport Texas' on LinkedIn</t>
  </si>
  <si>
    <t>JA Harris Trucking Inc</t>
  </si>
  <si>
    <t>11-50</t>
  </si>
  <si>
    <t>Search 'JA Harris Trucking Texas' on LinkedIn</t>
  </si>
  <si>
    <t>Summit Trucking</t>
  </si>
  <si>
    <t>Search 'Summit Trucking Texas' on LinkedIn</t>
  </si>
  <si>
    <t>Redbird Trucking</t>
  </si>
  <si>
    <t>Search 'Redbird Trucking Texas' on LinkedIn</t>
  </si>
  <si>
    <t>Hot Shot Trucking</t>
  </si>
  <si>
    <t>Hotshot/expedited carrier</t>
  </si>
  <si>
    <t>Search 'Hot Shot Trucking Texas' on LinkedIn</t>
  </si>
  <si>
    <t>Flex Trucking Company LLC</t>
  </si>
  <si>
    <t>2-10</t>
  </si>
  <si>
    <t>Search 'Flex Trucking Company Texas' on LinkedIn</t>
  </si>
  <si>
    <t>Kennesaw Transportation</t>
  </si>
  <si>
    <t>GA</t>
  </si>
  <si>
    <t>Trucking and logistics carrier (~350 employees, $50M+ revenue per listing)</t>
  </si>
  <si>
    <t>Search 'Kennesaw Transportation Georgia' on LinkedIn</t>
  </si>
  <si>
    <t>Broadleaf Trucking</t>
  </si>
  <si>
    <t>Search 'Broadleaf Trucking Georgia' on LinkedIn</t>
  </si>
  <si>
    <t>IST Logistics</t>
  </si>
  <si>
    <t>Logistics and warehousing (HQ Indiana, GA location)</t>
  </si>
  <si>
    <t>Search 'IST Logistics Georgia' on LinkedIn</t>
  </si>
  <si>
    <t>Preferred Transport &amp; Distribution</t>
  </si>
  <si>
    <t>Search 'Preferred Transport and Distribution Georgia' on LinkedIn</t>
  </si>
  <si>
    <t>Volume Transportation</t>
  </si>
  <si>
    <t>&lt;10</t>
  </si>
  <si>
    <t>Search 'Volume Transportation Georgia' on LinkedIn</t>
  </si>
  <si>
    <t>Meyers Bros Trucking</t>
  </si>
  <si>
    <t>OH</t>
  </si>
  <si>
    <t>Truckload, local delivery, expedited freight, storage/rental trailer service</t>
  </si>
  <si>
    <t>Search 'Meyers Bros Trucking Ohio' on LinkedIn</t>
  </si>
  <si>
    <t>TP Freight Lines</t>
  </si>
  <si>
    <t>OR</t>
  </si>
  <si>
    <t>50-200</t>
  </si>
  <si>
    <t>Pacific Northwest general freight carrier</t>
  </si>
  <si>
    <t>Search 'TP Freight Lines Oregon' on LinkedIn</t>
  </si>
  <si>
    <t>Carroll Fulmer Logistics Corporation</t>
  </si>
  <si>
    <t>FL</t>
  </si>
  <si>
    <t>Trucking, freight and logistics, online shipment tracking</t>
  </si>
  <si>
    <t>Search 'Carroll Fulmer Logistics Florida' on LinkedIn</t>
  </si>
  <si>
    <t>Indian River Transport</t>
  </si>
  <si>
    <t>Bulk liquid transport, national and international (Canada/Mexico)</t>
  </si>
  <si>
    <t>Search 'Indian River Transport Florida' on LinkedIn</t>
  </si>
  <si>
    <t>Inland Transport Inc.</t>
  </si>
  <si>
    <t>Transportation, logistics planning, warehouse distribution (US/Canada/Mexico)</t>
  </si>
  <si>
    <t>Search 'Inland Transport Inc Orlando' on LinkedIn</t>
  </si>
  <si>
    <t>Florida Beauty Flora</t>
  </si>
  <si>
    <t>3PL, transportation, warehouse distribution - refrigerated fleet</t>
  </si>
  <si>
    <t>Search 'Florida Beauty Flora' on LinkedIn</t>
  </si>
  <si>
    <t>Coast to Coast Trucking Inc.</t>
  </si>
  <si>
    <t>Domestic and international transportation/logistics</t>
  </si>
  <si>
    <t>Search 'Coast to Coast Trucking Inc Florida' on LinkedIn</t>
  </si>
  <si>
    <t>Lake Trucking Company</t>
  </si>
  <si>
    <t>Refrigerated trucking - seafood, meats, perishables</t>
  </si>
  <si>
    <t>Search 'Lake Trucking Company Florida' on LinkedIn</t>
  </si>
  <si>
    <t>Service Trucking</t>
  </si>
  <si>
    <t>Long-haul trucking - refrigerated and dry goods</t>
  </si>
  <si>
    <t>Search 'Service Trucking Florida' on LinkedIn</t>
  </si>
  <si>
    <t>E.W. Wylie Corporation</t>
  </si>
  <si>
    <t>AZ</t>
  </si>
  <si>
    <t>Step deck/flatbed transportation, Glass Hauling Division</t>
  </si>
  <si>
    <t>Search 'E.W. Wylie Corporation Arizona' on LinkedIn</t>
  </si>
  <si>
    <t>Northland Trucking, Inc.</t>
  </si>
  <si>
    <t>Truckload, freight consolidation, flatbed, drop trucks</t>
  </si>
  <si>
    <t>Search 'Northland Trucking Arizona' on LinkedIn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</si>
</sst>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4.0"/>
      <name val="Arial"/>
    </font>
    <font>
      <sz val="11.0"/>
      <color/>
      <name val="Calibri"/>
    </font>
    <font>
      <sz val="11.0"/>
      <name val="Arial"/>
    </font>
    <font>
      <b/>
      <sz val="11.0"/>
      <name val="Arial"/>
    </font>
    <font>
      <b/>
      <sz val="11.0"/>
      <color rgb="FFFFFFFF"/>
      <name val="Arial"/>
    </font>
    <font>
      <sz val="1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0000"/>
        <bgColor rgb="FFB00000"/>
      </patternFill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z val="10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666666"/>
        <name val="Arial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11" width="8.71"/>
  </cols>
  <sheetData>
    <row r="1" ht="17.25" customHeight="1">
      <c r="A1" s="1" t="s">
        <v>0</v>
      </c>
      <c r="B1" s="2"/>
    </row>
    <row r="2">
      <c r="A2" s="2"/>
      <c r="B2" s="2"/>
    </row>
    <row r="3" ht="15.0" customHeight="1">
      <c r="A3" s="3" t="s">
        <v>1</v>
      </c>
      <c r="B3" s="4" t="str">
        <f>COUNTA('Call Tracker'!A2:A285)</f>
        <v>284</v>
      </c>
    </row>
    <row r="4" ht="15.0" customHeight="1">
      <c r="A4" s="3" t="s">
        <v>2</v>
      </c>
      <c r="B4" s="4" t="str">
        <f>COUNTIF('Call Tracker'!G2:G285,"Not Started")</f>
        <v>284</v>
      </c>
    </row>
    <row r="5" ht="15.0" customHeight="1">
      <c r="A5" s="3" t="s">
        <v>3</v>
      </c>
      <c r="B5" s="4" t="str">
        <f>COUNTIF('Call Tracker'!G2:G285,"Attempted - No Answer")+COUNTIF('Call Tracker'!G2:G285,"Attempted - Voicemail")+COUNTIF('Call Tracker'!G2:G285,"Gatekeeper")</f>
        <v>0</v>
      </c>
    </row>
    <row r="6" ht="15.0" customHeight="1">
      <c r="A6" s="3" t="s">
        <v>4</v>
      </c>
      <c r="B6" s="4" t="str">
        <f>COUNTIF('Call Tracker'!G2:G285,"Spoke - Interested")+COUNTIF('Call Tracker'!G2:G285,"Follow-up Scheduled")</f>
        <v>0</v>
      </c>
    </row>
    <row r="7" ht="15.0" customHeight="1">
      <c r="A7" s="3" t="s">
        <v>5</v>
      </c>
      <c r="B7" s="4" t="str">
        <f>COUNTIF('Call Tracker'!G2:G285,"Meeting Booked")</f>
        <v>0</v>
      </c>
    </row>
    <row r="8" ht="15.0" customHeight="1">
      <c r="A8" s="3" t="s">
        <v>6</v>
      </c>
      <c r="B8" s="4" t="str">
        <f>COUNTIF('Call Tracker'!G2:G285,"Closed Won")</f>
        <v>0</v>
      </c>
    </row>
    <row r="9" ht="15.0" customHeight="1">
      <c r="A9" s="3" t="s">
        <v>7</v>
      </c>
      <c r="B9" s="4" t="str">
        <f>COUNTIF('Call Tracker'!G2:G285,"Closed Lost")+COUNTIF('Call Tracker'!G2:G285,"Spoke - Not Interested")</f>
        <v>0</v>
      </c>
    </row>
    <row r="10" ht="15.0" customHeight="1">
      <c r="A10" s="3" t="s">
        <v>8</v>
      </c>
      <c r="B10" s="4" t="str">
        <f>COUNTIF('Call Tracker'!G2:G285,"Bad Number/DNC")</f>
        <v>0</v>
      </c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4.0"/>
    <col customWidth="1" min="4" max="4" width="26.0"/>
    <col customWidth="1" min="5" max="5" width="16.0"/>
    <col customWidth="1" min="6" max="6" width="30.0"/>
    <col customWidth="1" min="7" max="7" width="26.0"/>
    <col customWidth="1" min="8" max="8" width="34.0"/>
    <col customWidth="1" min="9" max="9" width="16.0"/>
    <col customWidth="1" min="10" max="10" width="14.0"/>
    <col customWidth="1" min="11" max="11" width="34.0"/>
    <col customWidth="1" min="12" max="12" width="26.0"/>
  </cols>
  <sheetData>
    <row r="1" ht="64.5" customHeigh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ht="23.25" customHeight="1">
      <c r="A2" s="6">
        <v>1.0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>
        <v>1.0</v>
      </c>
      <c r="K2" s="6" t="s">
        <v>29</v>
      </c>
      <c r="L2" s="6" t="s">
        <v>30</v>
      </c>
    </row>
    <row r="3" ht="23.25" customHeight="1">
      <c r="A3" s="6">
        <v>2.0</v>
      </c>
      <c r="B3" s="6" t="s">
        <v>21</v>
      </c>
      <c r="C3" s="6" t="s">
        <v>31</v>
      </c>
      <c r="D3" s="6" t="s">
        <v>32</v>
      </c>
      <c r="E3" s="6" t="s">
        <v>33</v>
      </c>
      <c r="F3" s="6" t="s">
        <v>25</v>
      </c>
      <c r="G3" s="6" t="s">
        <v>34</v>
      </c>
      <c r="H3" s="6" t="s">
        <v>35</v>
      </c>
      <c r="I3" s="6" t="s">
        <v>36</v>
      </c>
      <c r="J3" s="6">
        <v>1.0</v>
      </c>
      <c r="K3" s="6" t="s">
        <v>37</v>
      </c>
      <c r="L3" s="6" t="s">
        <v>30</v>
      </c>
    </row>
    <row r="4" ht="23.25" customHeight="1">
      <c r="A4" s="6">
        <v>3.0</v>
      </c>
      <c r="B4" s="6" t="s">
        <v>21</v>
      </c>
      <c r="C4" s="6" t="s">
        <v>38</v>
      </c>
      <c r="D4" s="6" t="s">
        <v>39</v>
      </c>
      <c r="E4" s="6" t="s">
        <v>40</v>
      </c>
      <c r="F4" s="6" t="s">
        <v>25</v>
      </c>
      <c r="G4" s="6" t="s">
        <v>41</v>
      </c>
      <c r="H4" s="6" t="s">
        <v>42</v>
      </c>
      <c r="I4" s="6" t="s">
        <v>43</v>
      </c>
      <c r="J4" s="6">
        <v>1.0</v>
      </c>
      <c r="K4" s="6" t="s">
        <v>44</v>
      </c>
      <c r="L4" s="6" t="s">
        <v>30</v>
      </c>
    </row>
    <row r="5" ht="23.25" customHeight="1">
      <c r="A5" s="6">
        <v>4.0</v>
      </c>
      <c r="B5" s="6" t="s">
        <v>21</v>
      </c>
      <c r="C5" s="6" t="s">
        <v>45</v>
      </c>
      <c r="D5" s="6" t="s">
        <v>46</v>
      </c>
      <c r="E5" s="6" t="s">
        <v>47</v>
      </c>
      <c r="F5" s="6" t="s">
        <v>25</v>
      </c>
      <c r="G5" s="6" t="s">
        <v>48</v>
      </c>
      <c r="H5" s="6" t="s">
        <v>42</v>
      </c>
      <c r="I5" s="6" t="s">
        <v>49</v>
      </c>
      <c r="J5" s="6">
        <v>1.0</v>
      </c>
      <c r="K5" s="6" t="s">
        <v>50</v>
      </c>
      <c r="L5" s="6" t="s">
        <v>30</v>
      </c>
    </row>
    <row r="6" ht="23.25" customHeight="1">
      <c r="A6" s="6">
        <v>5.0</v>
      </c>
      <c r="B6" s="6" t="s">
        <v>21</v>
      </c>
      <c r="C6" s="6" t="s">
        <v>51</v>
      </c>
      <c r="D6" s="6" t="s">
        <v>39</v>
      </c>
      <c r="E6" s="6" t="s">
        <v>52</v>
      </c>
      <c r="F6" s="6" t="s">
        <v>25</v>
      </c>
      <c r="G6" s="6" t="s">
        <v>53</v>
      </c>
      <c r="H6" s="6" t="s">
        <v>42</v>
      </c>
      <c r="I6" s="6" t="s">
        <v>54</v>
      </c>
      <c r="J6" s="6">
        <v>1.0</v>
      </c>
      <c r="K6" s="6" t="s">
        <v>44</v>
      </c>
      <c r="L6" s="6" t="s">
        <v>30</v>
      </c>
    </row>
    <row r="7" ht="23.25" customHeight="1">
      <c r="A7" s="6">
        <v>6.0</v>
      </c>
      <c r="B7" s="6" t="s">
        <v>21</v>
      </c>
      <c r="C7" s="6" t="s">
        <v>55</v>
      </c>
      <c r="D7" s="6" t="s">
        <v>56</v>
      </c>
      <c r="E7" s="6" t="s">
        <v>57</v>
      </c>
      <c r="F7" s="6" t="s">
        <v>25</v>
      </c>
      <c r="G7" s="6" t="s">
        <v>58</v>
      </c>
      <c r="H7" s="6" t="s">
        <v>42</v>
      </c>
      <c r="I7" s="6" t="s">
        <v>59</v>
      </c>
      <c r="J7" s="6">
        <v>2.0</v>
      </c>
      <c r="K7" s="6" t="s">
        <v>60</v>
      </c>
      <c r="L7" s="6" t="s">
        <v>30</v>
      </c>
    </row>
    <row r="8" ht="23.25" customHeight="1">
      <c r="A8" s="6">
        <v>7.0</v>
      </c>
      <c r="B8" s="6" t="s">
        <v>21</v>
      </c>
      <c r="C8" s="6" t="s">
        <v>61</v>
      </c>
      <c r="D8" s="6" t="s">
        <v>62</v>
      </c>
      <c r="E8" s="6" t="s">
        <v>63</v>
      </c>
      <c r="F8" s="6" t="s">
        <v>25</v>
      </c>
      <c r="G8" s="6" t="s">
        <v>64</v>
      </c>
      <c r="H8" s="6" t="s">
        <v>65</v>
      </c>
      <c r="I8" s="6" t="s">
        <v>66</v>
      </c>
      <c r="J8" s="6">
        <v>2.0</v>
      </c>
      <c r="K8" s="6" t="s">
        <v>67</v>
      </c>
      <c r="L8" s="6" t="s">
        <v>30</v>
      </c>
    </row>
    <row r="9" ht="23.25" customHeight="1">
      <c r="A9" s="6">
        <v>8.0</v>
      </c>
      <c r="B9" s="6" t="s">
        <v>21</v>
      </c>
      <c r="C9" s="6" t="s">
        <v>68</v>
      </c>
      <c r="D9" s="6" t="s">
        <v>39</v>
      </c>
      <c r="E9" s="6" t="s">
        <v>69</v>
      </c>
      <c r="F9" s="6" t="s">
        <v>25</v>
      </c>
      <c r="G9" s="6" t="s">
        <v>64</v>
      </c>
      <c r="H9" s="6" t="s">
        <v>70</v>
      </c>
      <c r="I9" s="6" t="s">
        <v>71</v>
      </c>
      <c r="J9" s="6">
        <v>2.0</v>
      </c>
      <c r="K9" s="6" t="s">
        <v>72</v>
      </c>
      <c r="L9" s="6" t="s">
        <v>30</v>
      </c>
    </row>
    <row r="10" ht="23.25" customHeight="1">
      <c r="A10" s="6">
        <v>9.0</v>
      </c>
      <c r="B10" s="6" t="s">
        <v>21</v>
      </c>
      <c r="C10" s="6" t="s">
        <v>73</v>
      </c>
      <c r="D10" s="6" t="s">
        <v>39</v>
      </c>
      <c r="E10" s="6" t="s">
        <v>74</v>
      </c>
      <c r="F10" s="6" t="s">
        <v>25</v>
      </c>
      <c r="G10" s="6" t="s">
        <v>64</v>
      </c>
      <c r="H10" s="6" t="s">
        <v>75</v>
      </c>
      <c r="I10" s="6" t="s">
        <v>76</v>
      </c>
      <c r="J10" s="6">
        <v>2.0</v>
      </c>
      <c r="K10" s="6" t="s">
        <v>44</v>
      </c>
      <c r="L10" s="6" t="s">
        <v>30</v>
      </c>
    </row>
    <row r="11" ht="23.25" customHeight="1">
      <c r="A11" s="6">
        <v>10.0</v>
      </c>
      <c r="B11" s="6" t="s">
        <v>21</v>
      </c>
      <c r="C11" s="6" t="s">
        <v>77</v>
      </c>
      <c r="D11" s="6" t="s">
        <v>78</v>
      </c>
      <c r="E11" s="6" t="s">
        <v>79</v>
      </c>
      <c r="F11" s="6" t="s">
        <v>25</v>
      </c>
      <c r="G11" s="6" t="s">
        <v>64</v>
      </c>
      <c r="H11" s="6" t="s">
        <v>80</v>
      </c>
      <c r="I11" s="6" t="s">
        <v>81</v>
      </c>
      <c r="J11" s="6">
        <v>3.0</v>
      </c>
      <c r="K11" s="6" t="s">
        <v>82</v>
      </c>
      <c r="L11" s="6" t="s">
        <v>30</v>
      </c>
    </row>
    <row r="12" ht="23.25" customHeight="1">
      <c r="A12" s="6">
        <v>11.0</v>
      </c>
      <c r="B12" s="6" t="s">
        <v>21</v>
      </c>
      <c r="C12" s="6" t="s">
        <v>83</v>
      </c>
      <c r="D12" s="6" t="s">
        <v>39</v>
      </c>
      <c r="E12" s="6" t="s">
        <v>84</v>
      </c>
      <c r="F12" s="6" t="s">
        <v>25</v>
      </c>
      <c r="G12" s="6" t="s">
        <v>64</v>
      </c>
      <c r="H12" s="6" t="s">
        <v>85</v>
      </c>
      <c r="I12" s="6" t="s">
        <v>86</v>
      </c>
      <c r="J12" s="6">
        <v>3.0</v>
      </c>
      <c r="K12" s="6" t="s">
        <v>87</v>
      </c>
      <c r="L12" s="6" t="s">
        <v>30</v>
      </c>
    </row>
    <row r="13" ht="23.25" customHeight="1">
      <c r="A13" s="6">
        <v>12.0</v>
      </c>
      <c r="B13" s="6" t="s">
        <v>88</v>
      </c>
      <c r="C13" s="6" t="s">
        <v>89</v>
      </c>
      <c r="D13" s="6" t="s">
        <v>39</v>
      </c>
      <c r="E13" s="6" t="s">
        <v>90</v>
      </c>
      <c r="F13" s="6" t="s">
        <v>25</v>
      </c>
      <c r="G13" s="6" t="s">
        <v>64</v>
      </c>
      <c r="H13" s="6" t="s">
        <v>91</v>
      </c>
      <c r="I13" s="6" t="s">
        <v>92</v>
      </c>
      <c r="J13" s="6">
        <v>3.0</v>
      </c>
      <c r="K13" s="6" t="s">
        <v>93</v>
      </c>
      <c r="L13" s="6" t="s">
        <v>30</v>
      </c>
    </row>
    <row r="14" ht="23.25" customHeight="1">
      <c r="A14" s="6">
        <v>13.0</v>
      </c>
      <c r="B14" s="6" t="s">
        <v>21</v>
      </c>
      <c r="C14" s="6" t="s">
        <v>94</v>
      </c>
      <c r="D14" s="6" t="s">
        <v>39</v>
      </c>
      <c r="E14" s="6" t="s">
        <v>95</v>
      </c>
      <c r="F14" s="6" t="s">
        <v>25</v>
      </c>
      <c r="G14" s="6" t="s">
        <v>64</v>
      </c>
      <c r="H14" s="6" t="s">
        <v>96</v>
      </c>
      <c r="I14" s="6" t="s">
        <v>97</v>
      </c>
      <c r="J14" s="6">
        <v>3.0</v>
      </c>
      <c r="K14" s="6" t="s">
        <v>98</v>
      </c>
      <c r="L14" s="6" t="s">
        <v>30</v>
      </c>
    </row>
    <row r="15" ht="23.25" customHeight="1">
      <c r="A15" s="6">
        <v>14.0</v>
      </c>
      <c r="B15" s="6" t="s">
        <v>21</v>
      </c>
      <c r="C15" s="6" t="s">
        <v>99</v>
      </c>
      <c r="D15" s="6" t="s">
        <v>39</v>
      </c>
      <c r="E15" s="6" t="s">
        <v>100</v>
      </c>
      <c r="F15" s="6" t="s">
        <v>25</v>
      </c>
      <c r="G15" s="6" t="s">
        <v>64</v>
      </c>
      <c r="H15" s="6" t="s">
        <v>101</v>
      </c>
      <c r="I15" s="6" t="s">
        <v>102</v>
      </c>
      <c r="J15" s="6">
        <v>3.0</v>
      </c>
      <c r="K15" s="6" t="s">
        <v>98</v>
      </c>
      <c r="L15" s="6" t="s">
        <v>30</v>
      </c>
    </row>
    <row r="16" ht="23.25" customHeight="1">
      <c r="A16" s="6">
        <v>15.0</v>
      </c>
      <c r="B16" s="6" t="s">
        <v>21</v>
      </c>
      <c r="C16" s="6" t="s">
        <v>103</v>
      </c>
      <c r="D16" s="6" t="s">
        <v>39</v>
      </c>
      <c r="E16" s="6" t="s">
        <v>104</v>
      </c>
      <c r="F16" s="6" t="s">
        <v>25</v>
      </c>
      <c r="G16" s="6" t="s">
        <v>64</v>
      </c>
      <c r="H16" s="6" t="s">
        <v>105</v>
      </c>
      <c r="I16" s="6" t="s">
        <v>106</v>
      </c>
      <c r="J16" s="6">
        <v>3.0</v>
      </c>
      <c r="K16" s="6" t="s">
        <v>107</v>
      </c>
      <c r="L16" s="6" t="s">
        <v>30</v>
      </c>
    </row>
    <row r="17" ht="23.25" customHeight="1">
      <c r="A17" s="6">
        <v>16.0</v>
      </c>
      <c r="B17" s="6" t="s">
        <v>21</v>
      </c>
      <c r="C17" s="6" t="s">
        <v>108</v>
      </c>
      <c r="D17" s="6" t="s">
        <v>39</v>
      </c>
      <c r="E17" s="6" t="s">
        <v>109</v>
      </c>
      <c r="F17" s="6" t="s">
        <v>25</v>
      </c>
      <c r="G17" s="6" t="s">
        <v>64</v>
      </c>
      <c r="H17" s="6" t="s">
        <v>110</v>
      </c>
      <c r="I17" s="6" t="s">
        <v>111</v>
      </c>
      <c r="J17" s="6">
        <v>4.0</v>
      </c>
      <c r="K17" s="6" t="s">
        <v>67</v>
      </c>
      <c r="L17" s="6" t="s">
        <v>30</v>
      </c>
    </row>
    <row r="18" ht="23.25" customHeight="1">
      <c r="A18" s="6">
        <v>17.0</v>
      </c>
      <c r="B18" s="6" t="s">
        <v>21</v>
      </c>
      <c r="C18" s="6" t="s">
        <v>112</v>
      </c>
      <c r="D18" s="6" t="s">
        <v>39</v>
      </c>
      <c r="E18" s="6" t="s">
        <v>113</v>
      </c>
      <c r="F18" s="6" t="s">
        <v>25</v>
      </c>
      <c r="G18" s="6" t="s">
        <v>64</v>
      </c>
      <c r="H18" s="6" t="s">
        <v>114</v>
      </c>
      <c r="I18" s="6" t="s">
        <v>115</v>
      </c>
      <c r="J18" s="6">
        <v>4.0</v>
      </c>
      <c r="K18" s="6" t="s">
        <v>116</v>
      </c>
      <c r="L18" s="6" t="s">
        <v>30</v>
      </c>
    </row>
    <row r="19" ht="23.25" customHeight="1">
      <c r="A19" s="6">
        <v>18.0</v>
      </c>
      <c r="B19" s="6" t="s">
        <v>21</v>
      </c>
      <c r="C19" s="6" t="s">
        <v>117</v>
      </c>
      <c r="D19" s="6" t="s">
        <v>39</v>
      </c>
      <c r="E19" s="6" t="s">
        <v>118</v>
      </c>
      <c r="F19" s="6" t="s">
        <v>25</v>
      </c>
      <c r="G19" s="6" t="s">
        <v>64</v>
      </c>
      <c r="H19" s="6" t="s">
        <v>119</v>
      </c>
      <c r="I19" s="6" t="s">
        <v>71</v>
      </c>
      <c r="J19" s="6">
        <v>5.0</v>
      </c>
      <c r="K19" s="6" t="s">
        <v>98</v>
      </c>
      <c r="L19" s="6" t="s">
        <v>30</v>
      </c>
    </row>
    <row r="20" ht="23.25" customHeight="1">
      <c r="A20" s="6">
        <v>19.0</v>
      </c>
      <c r="B20" s="6" t="s">
        <v>21</v>
      </c>
      <c r="C20" s="6" t="s">
        <v>120</v>
      </c>
      <c r="D20" s="6" t="s">
        <v>39</v>
      </c>
      <c r="E20" s="6" t="s">
        <v>121</v>
      </c>
      <c r="F20" s="6" t="s">
        <v>25</v>
      </c>
      <c r="G20" s="6" t="s">
        <v>64</v>
      </c>
      <c r="H20" s="6" t="s">
        <v>122</v>
      </c>
      <c r="I20" s="6" t="s">
        <v>102</v>
      </c>
      <c r="J20" s="6">
        <v>5.0</v>
      </c>
      <c r="K20" s="6" t="s">
        <v>123</v>
      </c>
      <c r="L20" s="6" t="s">
        <v>30</v>
      </c>
    </row>
    <row r="21" ht="23.25" customHeight="1">
      <c r="A21" s="6">
        <v>20.0</v>
      </c>
      <c r="B21" s="6" t="s">
        <v>21</v>
      </c>
      <c r="C21" s="6" t="s">
        <v>124</v>
      </c>
      <c r="D21" s="6" t="s">
        <v>39</v>
      </c>
      <c r="E21" s="6" t="s">
        <v>125</v>
      </c>
      <c r="F21" s="6" t="s">
        <v>25</v>
      </c>
      <c r="G21" s="6" t="s">
        <v>64</v>
      </c>
      <c r="H21" s="6" t="s">
        <v>126</v>
      </c>
      <c r="I21" s="6" t="s">
        <v>115</v>
      </c>
      <c r="J21" s="6">
        <v>5.0</v>
      </c>
      <c r="K21" s="6" t="s">
        <v>67</v>
      </c>
      <c r="L21" s="6" t="s">
        <v>30</v>
      </c>
    </row>
    <row r="22" ht="23.25" customHeight="1">
      <c r="A22" s="6">
        <v>21.0</v>
      </c>
      <c r="B22" s="6" t="s">
        <v>21</v>
      </c>
      <c r="C22" s="6" t="s">
        <v>127</v>
      </c>
      <c r="D22" s="6" t="s">
        <v>128</v>
      </c>
      <c r="E22" s="6" t="s">
        <v>129</v>
      </c>
      <c r="F22" s="6" t="s">
        <v>25</v>
      </c>
      <c r="G22" s="6" t="s">
        <v>64</v>
      </c>
      <c r="H22" s="6" t="s">
        <v>130</v>
      </c>
      <c r="I22" s="6" t="s">
        <v>131</v>
      </c>
      <c r="J22" s="6">
        <v>5.0</v>
      </c>
      <c r="K22" s="6" t="s">
        <v>98</v>
      </c>
      <c r="L22" s="6" t="s">
        <v>30</v>
      </c>
    </row>
    <row r="23" ht="23.25" customHeight="1">
      <c r="A23" s="6">
        <v>22.0</v>
      </c>
      <c r="B23" s="6" t="s">
        <v>21</v>
      </c>
      <c r="C23" s="6" t="s">
        <v>132</v>
      </c>
      <c r="D23" s="6" t="s">
        <v>133</v>
      </c>
      <c r="E23" s="6" t="s">
        <v>134</v>
      </c>
      <c r="F23" s="6" t="s">
        <v>25</v>
      </c>
      <c r="G23" s="6" t="s">
        <v>64</v>
      </c>
      <c r="H23" s="6" t="s">
        <v>135</v>
      </c>
      <c r="I23" s="6" t="s">
        <v>136</v>
      </c>
      <c r="J23" s="6">
        <v>5.0</v>
      </c>
      <c r="K23" s="6" t="s">
        <v>137</v>
      </c>
      <c r="L23" s="6" t="s">
        <v>30</v>
      </c>
    </row>
    <row r="24" ht="23.25" customHeight="1">
      <c r="A24" s="6">
        <v>23.0</v>
      </c>
      <c r="B24" s="6" t="s">
        <v>21</v>
      </c>
      <c r="C24" s="6" t="s">
        <v>138</v>
      </c>
      <c r="D24" s="6" t="s">
        <v>39</v>
      </c>
      <c r="E24" s="6" t="s">
        <v>139</v>
      </c>
      <c r="F24" s="6" t="s">
        <v>25</v>
      </c>
      <c r="G24" s="6" t="s">
        <v>64</v>
      </c>
      <c r="H24" s="6" t="s">
        <v>140</v>
      </c>
      <c r="I24" s="6" t="s">
        <v>141</v>
      </c>
      <c r="J24" s="6">
        <v>6.0</v>
      </c>
      <c r="K24" s="6" t="s">
        <v>142</v>
      </c>
      <c r="L24" s="6" t="s">
        <v>30</v>
      </c>
    </row>
    <row r="25" ht="23.25" customHeight="1">
      <c r="A25" s="6">
        <v>24.0</v>
      </c>
      <c r="B25" s="6" t="s">
        <v>88</v>
      </c>
      <c r="C25" s="6" t="s">
        <v>143</v>
      </c>
      <c r="D25" s="6" t="s">
        <v>144</v>
      </c>
      <c r="E25" s="6" t="s">
        <v>145</v>
      </c>
      <c r="F25" s="6" t="s">
        <v>25</v>
      </c>
      <c r="G25" s="6" t="s">
        <v>64</v>
      </c>
      <c r="H25" s="6" t="s">
        <v>146</v>
      </c>
      <c r="I25" s="6" t="s">
        <v>71</v>
      </c>
      <c r="J25" s="6">
        <v>6.0</v>
      </c>
      <c r="K25" s="6" t="s">
        <v>147</v>
      </c>
      <c r="L25" s="6" t="s">
        <v>30</v>
      </c>
    </row>
    <row r="26" ht="23.25" customHeight="1">
      <c r="A26" s="6">
        <v>25.0</v>
      </c>
      <c r="B26" s="6" t="s">
        <v>21</v>
      </c>
      <c r="C26" s="6" t="s">
        <v>148</v>
      </c>
      <c r="D26" s="6" t="s">
        <v>39</v>
      </c>
      <c r="E26" s="6" t="s">
        <v>149</v>
      </c>
      <c r="F26" s="6" t="s">
        <v>25</v>
      </c>
      <c r="G26" s="6" t="s">
        <v>64</v>
      </c>
      <c r="H26" s="6" t="s">
        <v>150</v>
      </c>
      <c r="I26" s="6" t="s">
        <v>151</v>
      </c>
      <c r="J26" s="6">
        <v>6.0</v>
      </c>
      <c r="K26" s="6" t="s">
        <v>98</v>
      </c>
      <c r="L26" s="6" t="s">
        <v>30</v>
      </c>
    </row>
    <row r="27" ht="23.25" customHeight="1">
      <c r="A27" s="6">
        <v>26.0</v>
      </c>
      <c r="B27" s="6" t="s">
        <v>21</v>
      </c>
      <c r="C27" s="6" t="s">
        <v>152</v>
      </c>
      <c r="D27" s="6" t="s">
        <v>153</v>
      </c>
      <c r="E27" s="6" t="s">
        <v>154</v>
      </c>
      <c r="F27" s="6" t="s">
        <v>25</v>
      </c>
      <c r="G27" s="6" t="s">
        <v>64</v>
      </c>
      <c r="H27" s="6" t="s">
        <v>155</v>
      </c>
      <c r="I27" s="6" t="s">
        <v>81</v>
      </c>
      <c r="J27" s="6">
        <v>7.0</v>
      </c>
      <c r="K27" s="6" t="s">
        <v>156</v>
      </c>
      <c r="L27" s="6" t="s">
        <v>30</v>
      </c>
    </row>
    <row r="28" ht="23.25" customHeight="1">
      <c r="A28" s="6">
        <v>27.0</v>
      </c>
      <c r="B28" s="6" t="s">
        <v>21</v>
      </c>
      <c r="C28" s="6" t="s">
        <v>157</v>
      </c>
      <c r="D28" s="6" t="s">
        <v>158</v>
      </c>
      <c r="E28" s="6" t="s">
        <v>159</v>
      </c>
      <c r="F28" s="6" t="s">
        <v>25</v>
      </c>
      <c r="G28" s="6" t="s">
        <v>64</v>
      </c>
      <c r="H28" s="6" t="s">
        <v>160</v>
      </c>
      <c r="I28" s="6" t="s">
        <v>161</v>
      </c>
      <c r="J28" s="6">
        <v>7.0</v>
      </c>
      <c r="K28" s="6" t="s">
        <v>162</v>
      </c>
      <c r="L28" s="6" t="s">
        <v>30</v>
      </c>
    </row>
    <row r="29" ht="23.25" customHeight="1">
      <c r="A29" s="6">
        <v>28.0</v>
      </c>
      <c r="B29" s="6" t="s">
        <v>21</v>
      </c>
      <c r="C29" s="6" t="s">
        <v>163</v>
      </c>
      <c r="D29" s="6" t="s">
        <v>39</v>
      </c>
      <c r="E29" s="6" t="s">
        <v>164</v>
      </c>
      <c r="F29" s="6" t="s">
        <v>25</v>
      </c>
      <c r="G29" s="6" t="s">
        <v>64</v>
      </c>
      <c r="H29" s="6" t="s">
        <v>165</v>
      </c>
      <c r="I29" s="6" t="s">
        <v>166</v>
      </c>
      <c r="J29" s="6">
        <v>7.0</v>
      </c>
      <c r="K29" s="6" t="s">
        <v>167</v>
      </c>
      <c r="L29" s="6" t="s">
        <v>30</v>
      </c>
    </row>
    <row r="30" ht="23.25" customHeight="1">
      <c r="A30" s="6">
        <v>29.0</v>
      </c>
      <c r="B30" s="6" t="s">
        <v>21</v>
      </c>
      <c r="C30" s="6" t="s">
        <v>168</v>
      </c>
      <c r="D30" s="6" t="s">
        <v>39</v>
      </c>
      <c r="E30" s="6" t="s">
        <v>169</v>
      </c>
      <c r="F30" s="6" t="s">
        <v>25</v>
      </c>
      <c r="G30" s="6" t="s">
        <v>64</v>
      </c>
      <c r="H30" s="6" t="s">
        <v>170</v>
      </c>
      <c r="I30" s="6" t="s">
        <v>171</v>
      </c>
      <c r="J30" s="6">
        <v>7.0</v>
      </c>
      <c r="K30" s="6" t="s">
        <v>98</v>
      </c>
      <c r="L30" s="6" t="s">
        <v>30</v>
      </c>
    </row>
    <row r="31" ht="23.25" customHeight="1">
      <c r="A31" s="6">
        <v>30.0</v>
      </c>
      <c r="B31" s="6" t="s">
        <v>21</v>
      </c>
      <c r="C31" s="6" t="s">
        <v>172</v>
      </c>
      <c r="D31" s="6" t="s">
        <v>39</v>
      </c>
      <c r="E31" s="6" t="s">
        <v>173</v>
      </c>
      <c r="F31" s="6" t="s">
        <v>25</v>
      </c>
      <c r="G31" s="6" t="s">
        <v>64</v>
      </c>
      <c r="H31" s="6" t="s">
        <v>174</v>
      </c>
      <c r="I31" s="6" t="s">
        <v>151</v>
      </c>
      <c r="J31" s="6">
        <v>7.0</v>
      </c>
      <c r="K31" s="6" t="s">
        <v>98</v>
      </c>
      <c r="L31" s="6" t="s">
        <v>30</v>
      </c>
    </row>
    <row r="32" ht="23.25" customHeight="1">
      <c r="A32" s="6">
        <v>31.0</v>
      </c>
      <c r="B32" s="6" t="s">
        <v>21</v>
      </c>
      <c r="C32" s="6" t="s">
        <v>175</v>
      </c>
      <c r="D32" s="6" t="s">
        <v>39</v>
      </c>
      <c r="E32" s="6" t="s">
        <v>176</v>
      </c>
      <c r="F32" s="6" t="s">
        <v>25</v>
      </c>
      <c r="G32" s="6" t="s">
        <v>64</v>
      </c>
      <c r="H32" s="6" t="s">
        <v>177</v>
      </c>
      <c r="I32" s="6" t="s">
        <v>178</v>
      </c>
      <c r="J32" s="6">
        <v>7.0</v>
      </c>
      <c r="K32" s="6" t="s">
        <v>179</v>
      </c>
      <c r="L32" s="6" t="s">
        <v>30</v>
      </c>
    </row>
    <row r="33" ht="23.25" customHeight="1">
      <c r="A33" s="6">
        <v>32.0</v>
      </c>
      <c r="B33" s="6" t="s">
        <v>21</v>
      </c>
      <c r="C33" s="6" t="s">
        <v>180</v>
      </c>
      <c r="D33" s="6" t="s">
        <v>39</v>
      </c>
      <c r="E33" s="6" t="s">
        <v>181</v>
      </c>
      <c r="F33" s="6" t="s">
        <v>25</v>
      </c>
      <c r="G33" s="6" t="s">
        <v>64</v>
      </c>
      <c r="H33" s="6" t="s">
        <v>182</v>
      </c>
      <c r="I33" s="6" t="s">
        <v>59</v>
      </c>
      <c r="J33" s="6">
        <v>8.0</v>
      </c>
      <c r="K33" s="6" t="s">
        <v>183</v>
      </c>
      <c r="L33" s="6" t="s">
        <v>30</v>
      </c>
    </row>
    <row r="34" ht="23.25" customHeight="1">
      <c r="A34" s="6">
        <v>33.0</v>
      </c>
      <c r="B34" s="6" t="s">
        <v>21</v>
      </c>
      <c r="C34" s="6" t="s">
        <v>184</v>
      </c>
      <c r="D34" s="6" t="s">
        <v>39</v>
      </c>
      <c r="E34" s="6" t="s">
        <v>185</v>
      </c>
      <c r="F34" s="6" t="s">
        <v>25</v>
      </c>
      <c r="G34" s="6" t="s">
        <v>64</v>
      </c>
      <c r="H34" s="6" t="s">
        <v>186</v>
      </c>
      <c r="I34" s="6" t="s">
        <v>81</v>
      </c>
      <c r="J34" s="6">
        <v>8.0</v>
      </c>
      <c r="K34" s="6" t="s">
        <v>187</v>
      </c>
      <c r="L34" s="6" t="s">
        <v>30</v>
      </c>
    </row>
    <row r="35" ht="23.25" customHeight="1">
      <c r="A35" s="6">
        <v>34.0</v>
      </c>
      <c r="B35" s="6" t="s">
        <v>21</v>
      </c>
      <c r="C35" s="6" t="s">
        <v>188</v>
      </c>
      <c r="D35" s="6" t="s">
        <v>189</v>
      </c>
      <c r="E35" s="6" t="s">
        <v>190</v>
      </c>
      <c r="F35" s="6" t="s">
        <v>25</v>
      </c>
      <c r="G35" s="6" t="s">
        <v>64</v>
      </c>
      <c r="H35" s="6" t="s">
        <v>191</v>
      </c>
      <c r="I35" s="6" t="s">
        <v>192</v>
      </c>
      <c r="J35" s="6">
        <v>8.0</v>
      </c>
      <c r="K35" s="6" t="s">
        <v>193</v>
      </c>
      <c r="L35" s="6" t="s">
        <v>30</v>
      </c>
    </row>
    <row r="36" ht="23.25" customHeight="1">
      <c r="A36" s="6">
        <v>35.0</v>
      </c>
      <c r="B36" s="6" t="s">
        <v>21</v>
      </c>
      <c r="C36" s="6" t="s">
        <v>194</v>
      </c>
      <c r="D36" s="6" t="s">
        <v>39</v>
      </c>
      <c r="E36" s="6" t="s">
        <v>195</v>
      </c>
      <c r="F36" s="6" t="s">
        <v>25</v>
      </c>
      <c r="G36" s="6" t="s">
        <v>64</v>
      </c>
      <c r="H36" s="6" t="s">
        <v>196</v>
      </c>
      <c r="I36" s="6" t="s">
        <v>166</v>
      </c>
      <c r="J36" s="6">
        <v>8.0</v>
      </c>
      <c r="K36" s="6" t="s">
        <v>197</v>
      </c>
      <c r="L36" s="6" t="s">
        <v>30</v>
      </c>
    </row>
    <row r="37" ht="23.25" customHeight="1">
      <c r="A37" s="6">
        <v>36.0</v>
      </c>
      <c r="B37" s="6" t="s">
        <v>21</v>
      </c>
      <c r="C37" s="6" t="s">
        <v>198</v>
      </c>
      <c r="D37" s="6" t="s">
        <v>199</v>
      </c>
      <c r="E37" s="6" t="s">
        <v>200</v>
      </c>
      <c r="F37" s="6" t="s">
        <v>25</v>
      </c>
      <c r="G37" s="6" t="s">
        <v>64</v>
      </c>
      <c r="H37" s="6" t="s">
        <v>201</v>
      </c>
      <c r="I37" s="6" t="s">
        <v>202</v>
      </c>
      <c r="J37" s="6">
        <v>8.0</v>
      </c>
      <c r="K37" s="6" t="s">
        <v>203</v>
      </c>
      <c r="L37" s="6" t="s">
        <v>30</v>
      </c>
    </row>
    <row r="38" ht="23.25" customHeight="1">
      <c r="A38" s="6">
        <v>37.0</v>
      </c>
      <c r="B38" s="6" t="s">
        <v>88</v>
      </c>
      <c r="C38" s="6" t="s">
        <v>204</v>
      </c>
      <c r="D38" s="6" t="s">
        <v>205</v>
      </c>
      <c r="E38" s="6" t="s">
        <v>206</v>
      </c>
      <c r="F38" s="6" t="s">
        <v>25</v>
      </c>
      <c r="G38" s="6" t="s">
        <v>64</v>
      </c>
      <c r="H38" s="6" t="s">
        <v>207</v>
      </c>
      <c r="I38" s="6" t="s">
        <v>208</v>
      </c>
      <c r="J38" s="6">
        <v>8.0</v>
      </c>
      <c r="K38" s="6" t="s">
        <v>209</v>
      </c>
      <c r="L38" s="6" t="s">
        <v>30</v>
      </c>
    </row>
    <row r="39" ht="23.25" customHeight="1">
      <c r="A39" s="6">
        <v>38.0</v>
      </c>
      <c r="B39" s="6" t="s">
        <v>21</v>
      </c>
      <c r="C39" s="6" t="s">
        <v>210</v>
      </c>
      <c r="D39" s="6" t="s">
        <v>39</v>
      </c>
      <c r="E39" s="6" t="s">
        <v>211</v>
      </c>
      <c r="F39" s="6" t="s">
        <v>25</v>
      </c>
      <c r="G39" s="6" t="s">
        <v>64</v>
      </c>
      <c r="H39" s="6" t="s">
        <v>212</v>
      </c>
      <c r="I39" s="6" t="s">
        <v>213</v>
      </c>
      <c r="J39" s="6">
        <v>9.0</v>
      </c>
      <c r="K39" s="6" t="s">
        <v>214</v>
      </c>
      <c r="L39" s="6" t="s">
        <v>30</v>
      </c>
    </row>
    <row r="40" ht="23.25" customHeight="1">
      <c r="A40" s="6">
        <v>39.0</v>
      </c>
      <c r="B40" s="6" t="s">
        <v>88</v>
      </c>
      <c r="C40" s="6" t="s">
        <v>215</v>
      </c>
      <c r="D40" s="6" t="s">
        <v>216</v>
      </c>
      <c r="E40" s="6" t="s">
        <v>217</v>
      </c>
      <c r="F40" s="6" t="s">
        <v>25</v>
      </c>
      <c r="G40" s="6" t="s">
        <v>64</v>
      </c>
      <c r="H40" s="6" t="s">
        <v>218</v>
      </c>
      <c r="I40" s="6" t="s">
        <v>219</v>
      </c>
      <c r="J40" s="6">
        <v>9.0</v>
      </c>
      <c r="K40" s="6" t="s">
        <v>93</v>
      </c>
      <c r="L40" s="6" t="s">
        <v>30</v>
      </c>
    </row>
    <row r="41" ht="23.25" customHeight="1">
      <c r="A41" s="6">
        <v>40.0</v>
      </c>
      <c r="B41" s="6" t="s">
        <v>21</v>
      </c>
      <c r="C41" s="6" t="s">
        <v>220</v>
      </c>
      <c r="D41" s="6" t="s">
        <v>221</v>
      </c>
      <c r="E41" s="6" t="s">
        <v>222</v>
      </c>
      <c r="F41" s="6" t="s">
        <v>25</v>
      </c>
      <c r="G41" s="6" t="s">
        <v>64</v>
      </c>
      <c r="H41" s="6" t="s">
        <v>223</v>
      </c>
      <c r="I41" s="6" t="s">
        <v>224</v>
      </c>
      <c r="J41" s="6">
        <v>10.0</v>
      </c>
      <c r="K41" s="6" t="s">
        <v>225</v>
      </c>
      <c r="L41" s="6" t="s">
        <v>30</v>
      </c>
    </row>
    <row r="42" ht="23.25" customHeight="1">
      <c r="A42" s="6">
        <v>41.0</v>
      </c>
      <c r="B42" s="6" t="s">
        <v>21</v>
      </c>
      <c r="C42" s="6" t="s">
        <v>226</v>
      </c>
      <c r="D42" s="6" t="s">
        <v>39</v>
      </c>
      <c r="E42" s="6" t="s">
        <v>227</v>
      </c>
      <c r="F42" s="6" t="s">
        <v>25</v>
      </c>
      <c r="G42" s="6" t="s">
        <v>64</v>
      </c>
      <c r="H42" s="6" t="s">
        <v>228</v>
      </c>
      <c r="I42" s="6" t="s">
        <v>229</v>
      </c>
      <c r="J42" s="6">
        <v>10.0</v>
      </c>
      <c r="K42" s="6" t="s">
        <v>230</v>
      </c>
      <c r="L42" s="6" t="s">
        <v>30</v>
      </c>
    </row>
    <row r="43" ht="23.25" customHeight="1">
      <c r="A43" s="6">
        <v>42.0</v>
      </c>
      <c r="B43" s="6" t="s">
        <v>21</v>
      </c>
      <c r="C43" s="6" t="s">
        <v>231</v>
      </c>
      <c r="D43" s="6" t="s">
        <v>232</v>
      </c>
      <c r="E43" s="6" t="s">
        <v>233</v>
      </c>
      <c r="F43" s="6" t="s">
        <v>25</v>
      </c>
      <c r="G43" s="6" t="s">
        <v>64</v>
      </c>
      <c r="H43" s="6" t="s">
        <v>234</v>
      </c>
      <c r="I43" s="6" t="s">
        <v>235</v>
      </c>
      <c r="J43" s="6">
        <v>10.0</v>
      </c>
      <c r="K43" s="6" t="s">
        <v>236</v>
      </c>
      <c r="L43" s="6" t="s">
        <v>30</v>
      </c>
    </row>
    <row r="44" ht="23.25" customHeight="1">
      <c r="A44" s="6">
        <v>43.0</v>
      </c>
      <c r="B44" s="6" t="s">
        <v>21</v>
      </c>
      <c r="C44" s="6" t="s">
        <v>237</v>
      </c>
      <c r="D44" s="6" t="s">
        <v>238</v>
      </c>
      <c r="E44" s="6" t="s">
        <v>239</v>
      </c>
      <c r="F44" s="6" t="s">
        <v>25</v>
      </c>
      <c r="G44" s="6" t="s">
        <v>64</v>
      </c>
      <c r="H44" s="6" t="s">
        <v>240</v>
      </c>
      <c r="I44" s="6" t="s">
        <v>86</v>
      </c>
      <c r="J44" s="6">
        <v>11.0</v>
      </c>
      <c r="K44" s="6" t="s">
        <v>241</v>
      </c>
      <c r="L44" s="6" t="s">
        <v>30</v>
      </c>
    </row>
    <row r="45" ht="23.25" customHeight="1">
      <c r="A45" s="6">
        <v>44.0</v>
      </c>
      <c r="B45" s="6" t="s">
        <v>21</v>
      </c>
      <c r="C45" s="6" t="s">
        <v>242</v>
      </c>
      <c r="D45" s="6" t="s">
        <v>243</v>
      </c>
      <c r="E45" s="6" t="s">
        <v>244</v>
      </c>
      <c r="F45" s="6" t="s">
        <v>25</v>
      </c>
      <c r="G45" s="6" t="s">
        <v>64</v>
      </c>
      <c r="H45" s="6" t="s">
        <v>245</v>
      </c>
      <c r="I45" s="6" t="s">
        <v>246</v>
      </c>
      <c r="J45" s="6">
        <v>11.0</v>
      </c>
      <c r="K45" s="6" t="s">
        <v>247</v>
      </c>
      <c r="L45" s="6" t="s">
        <v>30</v>
      </c>
    </row>
    <row r="46" ht="23.25" customHeight="1">
      <c r="A46" s="6">
        <v>45.0</v>
      </c>
      <c r="B46" s="6" t="s">
        <v>21</v>
      </c>
      <c r="C46" s="6" t="s">
        <v>248</v>
      </c>
      <c r="D46" s="6" t="s">
        <v>39</v>
      </c>
      <c r="E46" s="6" t="s">
        <v>249</v>
      </c>
      <c r="F46" s="6" t="s">
        <v>25</v>
      </c>
      <c r="G46" s="6" t="s">
        <v>64</v>
      </c>
      <c r="H46" s="6" t="s">
        <v>250</v>
      </c>
      <c r="I46" s="6" t="s">
        <v>251</v>
      </c>
      <c r="J46" s="6">
        <v>12.0</v>
      </c>
      <c r="K46" s="6" t="s">
        <v>252</v>
      </c>
      <c r="L46" s="6" t="s">
        <v>30</v>
      </c>
    </row>
    <row r="47" ht="23.25" customHeight="1">
      <c r="A47" s="6">
        <v>46.0</v>
      </c>
      <c r="B47" s="6" t="s">
        <v>21</v>
      </c>
      <c r="C47" s="6" t="s">
        <v>253</v>
      </c>
      <c r="D47" s="6" t="s">
        <v>39</v>
      </c>
      <c r="E47" s="6" t="s">
        <v>254</v>
      </c>
      <c r="F47" s="6" t="s">
        <v>25</v>
      </c>
      <c r="G47" s="6" t="s">
        <v>64</v>
      </c>
      <c r="H47" s="6" t="s">
        <v>255</v>
      </c>
      <c r="I47" s="6" t="s">
        <v>256</v>
      </c>
      <c r="J47" s="6">
        <v>12.0</v>
      </c>
      <c r="K47" s="6" t="s">
        <v>230</v>
      </c>
      <c r="L47" s="6" t="s">
        <v>30</v>
      </c>
    </row>
    <row r="48" ht="23.25" customHeight="1">
      <c r="A48" s="6">
        <v>47.0</v>
      </c>
      <c r="B48" s="6" t="s">
        <v>21</v>
      </c>
      <c r="C48" s="6" t="s">
        <v>257</v>
      </c>
      <c r="D48" s="6" t="s">
        <v>258</v>
      </c>
      <c r="E48" s="6" t="s">
        <v>259</v>
      </c>
      <c r="F48" s="6" t="s">
        <v>25</v>
      </c>
      <c r="G48" s="6" t="s">
        <v>64</v>
      </c>
      <c r="H48" s="6" t="s">
        <v>260</v>
      </c>
      <c r="I48" s="6" t="s">
        <v>261</v>
      </c>
      <c r="J48" s="6">
        <v>12.0</v>
      </c>
      <c r="K48" s="6" t="s">
        <v>203</v>
      </c>
      <c r="L48" s="6" t="s">
        <v>30</v>
      </c>
    </row>
    <row r="49" ht="23.25" customHeight="1">
      <c r="A49" s="6">
        <v>48.0</v>
      </c>
      <c r="B49" s="6" t="s">
        <v>21</v>
      </c>
      <c r="C49" s="6" t="s">
        <v>262</v>
      </c>
      <c r="D49" s="6" t="s">
        <v>39</v>
      </c>
      <c r="E49" s="6" t="s">
        <v>263</v>
      </c>
      <c r="F49" s="6" t="s">
        <v>25</v>
      </c>
      <c r="G49" s="6" t="s">
        <v>64</v>
      </c>
      <c r="H49" s="6" t="s">
        <v>264</v>
      </c>
      <c r="I49" s="6" t="s">
        <v>28</v>
      </c>
      <c r="J49" s="6">
        <v>13.0</v>
      </c>
      <c r="K49" s="6" t="s">
        <v>265</v>
      </c>
      <c r="L49" s="6" t="s">
        <v>30</v>
      </c>
    </row>
    <row r="50" ht="23.25" customHeight="1">
      <c r="A50" s="6">
        <v>49.0</v>
      </c>
      <c r="B50" s="6" t="s">
        <v>88</v>
      </c>
      <c r="C50" s="6" t="s">
        <v>266</v>
      </c>
      <c r="D50" s="6" t="s">
        <v>267</v>
      </c>
      <c r="E50" s="6" t="s">
        <v>268</v>
      </c>
      <c r="F50" s="6" t="s">
        <v>25</v>
      </c>
      <c r="G50" s="6" t="s">
        <v>64</v>
      </c>
      <c r="H50" s="6" t="s">
        <v>269</v>
      </c>
      <c r="I50" s="6" t="s">
        <v>270</v>
      </c>
      <c r="J50" s="6">
        <v>13.0</v>
      </c>
      <c r="K50" s="6" t="s">
        <v>271</v>
      </c>
      <c r="L50" s="6" t="s">
        <v>30</v>
      </c>
    </row>
    <row r="51" ht="23.25" customHeight="1">
      <c r="A51" s="6">
        <v>50.0</v>
      </c>
      <c r="B51" s="6" t="s">
        <v>88</v>
      </c>
      <c r="C51" s="6" t="s">
        <v>272</v>
      </c>
      <c r="D51" s="6" t="s">
        <v>39</v>
      </c>
      <c r="E51" s="6" t="s">
        <v>273</v>
      </c>
      <c r="F51" s="6" t="s">
        <v>25</v>
      </c>
      <c r="G51" s="6" t="s">
        <v>64</v>
      </c>
      <c r="H51" s="6" t="s">
        <v>274</v>
      </c>
      <c r="I51" s="6" t="s">
        <v>136</v>
      </c>
      <c r="J51" s="6">
        <v>13.0</v>
      </c>
      <c r="K51" s="6" t="s">
        <v>275</v>
      </c>
      <c r="L51" s="6" t="s">
        <v>30</v>
      </c>
    </row>
    <row r="52" ht="23.25" customHeight="1">
      <c r="A52" s="6">
        <v>51.0</v>
      </c>
      <c r="B52" s="6" t="s">
        <v>21</v>
      </c>
      <c r="C52" s="6" t="s">
        <v>276</v>
      </c>
      <c r="D52" s="6" t="s">
        <v>39</v>
      </c>
      <c r="E52" s="6" t="s">
        <v>277</v>
      </c>
      <c r="F52" s="6" t="s">
        <v>25</v>
      </c>
      <c r="G52" s="6" t="s">
        <v>64</v>
      </c>
      <c r="H52" s="6" t="s">
        <v>278</v>
      </c>
      <c r="I52" s="6" t="s">
        <v>279</v>
      </c>
      <c r="J52" s="6">
        <v>14.0</v>
      </c>
      <c r="K52" s="6" t="s">
        <v>280</v>
      </c>
      <c r="L52" s="6" t="s">
        <v>30</v>
      </c>
    </row>
    <row r="53" ht="23.25" customHeight="1">
      <c r="A53" s="6">
        <v>52.0</v>
      </c>
      <c r="B53" s="6" t="s">
        <v>88</v>
      </c>
      <c r="C53" s="6" t="s">
        <v>281</v>
      </c>
      <c r="D53" s="6" t="s">
        <v>282</v>
      </c>
      <c r="E53" s="6" t="s">
        <v>283</v>
      </c>
      <c r="F53" s="6" t="s">
        <v>25</v>
      </c>
      <c r="G53" s="6" t="s">
        <v>64</v>
      </c>
      <c r="H53" s="6" t="s">
        <v>284</v>
      </c>
      <c r="I53" s="6" t="s">
        <v>106</v>
      </c>
      <c r="J53" s="6">
        <v>14.0</v>
      </c>
      <c r="K53" s="6" t="s">
        <v>285</v>
      </c>
      <c r="L53" s="6" t="s">
        <v>30</v>
      </c>
    </row>
    <row r="54" ht="23.25" customHeight="1">
      <c r="A54" s="6">
        <v>53.0</v>
      </c>
      <c r="B54" s="6" t="s">
        <v>21</v>
      </c>
      <c r="C54" s="6" t="s">
        <v>286</v>
      </c>
      <c r="D54" s="6" t="s">
        <v>39</v>
      </c>
      <c r="E54" s="6" t="s">
        <v>287</v>
      </c>
      <c r="F54" s="6" t="s">
        <v>25</v>
      </c>
      <c r="G54" s="6" t="s">
        <v>64</v>
      </c>
      <c r="H54" s="6" t="s">
        <v>288</v>
      </c>
      <c r="I54" s="6" t="s">
        <v>131</v>
      </c>
      <c r="J54" s="6">
        <v>14.0</v>
      </c>
      <c r="K54" s="6" t="s">
        <v>289</v>
      </c>
      <c r="L54" s="6" t="s">
        <v>30</v>
      </c>
    </row>
    <row r="55" ht="23.25" customHeight="1">
      <c r="A55" s="6">
        <v>54.0</v>
      </c>
      <c r="B55" s="6" t="s">
        <v>21</v>
      </c>
      <c r="C55" s="6" t="s">
        <v>290</v>
      </c>
      <c r="D55" s="6" t="s">
        <v>291</v>
      </c>
      <c r="E55" s="6" t="s">
        <v>292</v>
      </c>
      <c r="F55" s="6" t="s">
        <v>25</v>
      </c>
      <c r="G55" s="6" t="s">
        <v>64</v>
      </c>
      <c r="H55" s="6" t="s">
        <v>293</v>
      </c>
      <c r="I55" s="6" t="s">
        <v>294</v>
      </c>
      <c r="J55" s="6">
        <v>15.0</v>
      </c>
      <c r="K55" s="6" t="s">
        <v>295</v>
      </c>
      <c r="L55" s="6" t="s">
        <v>30</v>
      </c>
    </row>
    <row r="56" ht="23.25" customHeight="1">
      <c r="A56" s="6">
        <v>55.0</v>
      </c>
      <c r="B56" s="6" t="s">
        <v>21</v>
      </c>
      <c r="C56" s="6" t="s">
        <v>296</v>
      </c>
      <c r="D56" s="6" t="s">
        <v>297</v>
      </c>
      <c r="E56" s="6" t="s">
        <v>298</v>
      </c>
      <c r="F56" s="6" t="s">
        <v>25</v>
      </c>
      <c r="G56" s="6" t="s">
        <v>64</v>
      </c>
      <c r="H56" s="6" t="s">
        <v>299</v>
      </c>
      <c r="I56" s="6" t="s">
        <v>246</v>
      </c>
      <c r="J56" s="6">
        <v>15.0</v>
      </c>
      <c r="K56" s="6" t="s">
        <v>300</v>
      </c>
      <c r="L56" s="6" t="s">
        <v>30</v>
      </c>
    </row>
    <row r="57" ht="23.25" customHeight="1">
      <c r="A57" s="6">
        <v>56.0</v>
      </c>
      <c r="B57" s="6" t="s">
        <v>21</v>
      </c>
      <c r="C57" s="6" t="s">
        <v>301</v>
      </c>
      <c r="D57" s="6" t="s">
        <v>39</v>
      </c>
      <c r="E57" s="6" t="s">
        <v>302</v>
      </c>
      <c r="F57" s="6" t="s">
        <v>25</v>
      </c>
      <c r="G57" s="6" t="s">
        <v>64</v>
      </c>
      <c r="H57" s="6" t="s">
        <v>303</v>
      </c>
      <c r="I57" s="6" t="s">
        <v>304</v>
      </c>
      <c r="J57" s="6">
        <v>16.0</v>
      </c>
      <c r="K57" s="6" t="s">
        <v>305</v>
      </c>
      <c r="L57" s="6" t="s">
        <v>30</v>
      </c>
    </row>
    <row r="58" ht="23.25" customHeight="1">
      <c r="A58" s="6">
        <v>57.0</v>
      </c>
      <c r="B58" s="6" t="s">
        <v>88</v>
      </c>
      <c r="C58" s="6" t="s">
        <v>306</v>
      </c>
      <c r="D58" s="6" t="s">
        <v>307</v>
      </c>
      <c r="E58" s="6" t="s">
        <v>308</v>
      </c>
      <c r="F58" s="6" t="s">
        <v>25</v>
      </c>
      <c r="G58" s="6" t="s">
        <v>64</v>
      </c>
      <c r="H58" s="6" t="s">
        <v>309</v>
      </c>
      <c r="I58" s="6" t="s">
        <v>92</v>
      </c>
      <c r="J58" s="6">
        <v>16.0</v>
      </c>
      <c r="K58" s="6" t="s">
        <v>310</v>
      </c>
      <c r="L58" s="6" t="s">
        <v>30</v>
      </c>
    </row>
    <row r="59" ht="23.25" customHeight="1">
      <c r="A59" s="6">
        <v>58.0</v>
      </c>
      <c r="B59" s="6" t="s">
        <v>21</v>
      </c>
      <c r="C59" s="6" t="s">
        <v>311</v>
      </c>
      <c r="D59" s="6" t="s">
        <v>312</v>
      </c>
      <c r="E59" s="6" t="s">
        <v>313</v>
      </c>
      <c r="F59" s="6" t="s">
        <v>25</v>
      </c>
      <c r="G59" s="6" t="s">
        <v>64</v>
      </c>
      <c r="H59" s="6" t="s">
        <v>314</v>
      </c>
      <c r="I59" s="6" t="s">
        <v>315</v>
      </c>
      <c r="J59" s="6">
        <v>17.0</v>
      </c>
      <c r="K59" s="6" t="s">
        <v>316</v>
      </c>
      <c r="L59" s="6" t="s">
        <v>30</v>
      </c>
    </row>
    <row r="60" ht="23.25" customHeight="1">
      <c r="A60" s="6">
        <v>59.0</v>
      </c>
      <c r="B60" s="6" t="s">
        <v>21</v>
      </c>
      <c r="C60" s="6" t="s">
        <v>317</v>
      </c>
      <c r="D60" s="6" t="s">
        <v>318</v>
      </c>
      <c r="E60" s="6" t="s">
        <v>319</v>
      </c>
      <c r="F60" s="6" t="s">
        <v>25</v>
      </c>
      <c r="G60" s="6" t="s">
        <v>64</v>
      </c>
      <c r="H60" s="6" t="s">
        <v>320</v>
      </c>
      <c r="I60" s="6" t="s">
        <v>256</v>
      </c>
      <c r="J60" s="6">
        <v>17.0</v>
      </c>
      <c r="K60" s="6" t="s">
        <v>321</v>
      </c>
      <c r="L60" s="6" t="s">
        <v>30</v>
      </c>
    </row>
    <row r="61" ht="23.25" customHeight="1">
      <c r="A61" s="6">
        <v>60.0</v>
      </c>
      <c r="B61" s="6" t="s">
        <v>21</v>
      </c>
      <c r="C61" s="6" t="s">
        <v>322</v>
      </c>
      <c r="D61" s="6" t="s">
        <v>323</v>
      </c>
      <c r="E61" s="6" t="s">
        <v>324</v>
      </c>
      <c r="F61" s="6" t="s">
        <v>25</v>
      </c>
      <c r="G61" s="6" t="s">
        <v>64</v>
      </c>
      <c r="H61" s="6" t="s">
        <v>325</v>
      </c>
      <c r="I61" s="6" t="s">
        <v>326</v>
      </c>
      <c r="J61" s="6">
        <v>17.0</v>
      </c>
      <c r="K61" s="6" t="s">
        <v>123</v>
      </c>
      <c r="L61" s="6" t="s">
        <v>30</v>
      </c>
    </row>
    <row r="62" ht="23.25" customHeight="1">
      <c r="A62" s="6">
        <v>61.0</v>
      </c>
      <c r="B62" s="6" t="s">
        <v>21</v>
      </c>
      <c r="C62" s="6" t="s">
        <v>327</v>
      </c>
      <c r="D62" s="6" t="s">
        <v>328</v>
      </c>
      <c r="E62" s="6" t="s">
        <v>329</v>
      </c>
      <c r="F62" s="6" t="s">
        <v>25</v>
      </c>
      <c r="G62" s="6" t="s">
        <v>64</v>
      </c>
      <c r="H62" s="6" t="s">
        <v>330</v>
      </c>
      <c r="I62" s="6" t="s">
        <v>213</v>
      </c>
      <c r="J62" s="6">
        <v>18.0</v>
      </c>
      <c r="K62" s="6" t="s">
        <v>331</v>
      </c>
      <c r="L62" s="6" t="s">
        <v>30</v>
      </c>
    </row>
    <row r="63" ht="23.25" customHeight="1">
      <c r="A63" s="6">
        <v>62.0</v>
      </c>
      <c r="B63" s="6" t="s">
        <v>21</v>
      </c>
      <c r="C63" s="6" t="s">
        <v>332</v>
      </c>
      <c r="D63" s="6" t="s">
        <v>333</v>
      </c>
      <c r="E63" s="6" t="s">
        <v>334</v>
      </c>
      <c r="F63" s="6" t="s">
        <v>25</v>
      </c>
      <c r="G63" s="6" t="s">
        <v>64</v>
      </c>
      <c r="H63" s="6" t="s">
        <v>335</v>
      </c>
      <c r="I63" s="6" t="s">
        <v>76</v>
      </c>
      <c r="J63" s="6">
        <v>18.0</v>
      </c>
      <c r="K63" s="6" t="s">
        <v>336</v>
      </c>
      <c r="L63" s="6" t="s">
        <v>30</v>
      </c>
    </row>
    <row r="64" ht="23.25" customHeight="1">
      <c r="A64" s="6">
        <v>63.0</v>
      </c>
      <c r="B64" s="6" t="s">
        <v>88</v>
      </c>
      <c r="C64" s="6" t="s">
        <v>337</v>
      </c>
      <c r="D64" s="6" t="s">
        <v>338</v>
      </c>
      <c r="E64" s="6" t="s">
        <v>339</v>
      </c>
      <c r="F64" s="6" t="s">
        <v>25</v>
      </c>
      <c r="G64" s="6" t="s">
        <v>64</v>
      </c>
      <c r="H64" s="6" t="s">
        <v>340</v>
      </c>
      <c r="I64" s="6" t="s">
        <v>229</v>
      </c>
      <c r="J64" s="6">
        <v>18.0</v>
      </c>
      <c r="K64" s="6" t="s">
        <v>341</v>
      </c>
      <c r="L64" s="6" t="s">
        <v>30</v>
      </c>
    </row>
    <row r="65" ht="23.25" customHeight="1">
      <c r="A65" s="6">
        <v>64.0</v>
      </c>
      <c r="B65" s="6" t="s">
        <v>21</v>
      </c>
      <c r="C65" s="6" t="s">
        <v>342</v>
      </c>
      <c r="D65" s="6" t="s">
        <v>39</v>
      </c>
      <c r="E65" s="6" t="s">
        <v>343</v>
      </c>
      <c r="F65" s="6" t="s">
        <v>25</v>
      </c>
      <c r="G65" s="6" t="s">
        <v>64</v>
      </c>
      <c r="H65" s="6" t="s">
        <v>344</v>
      </c>
      <c r="I65" s="6" t="s">
        <v>97</v>
      </c>
      <c r="J65" s="6">
        <v>19.0</v>
      </c>
      <c r="K65" s="6" t="s">
        <v>345</v>
      </c>
      <c r="L65" s="6" t="s">
        <v>30</v>
      </c>
    </row>
    <row r="66" ht="23.25" customHeight="1">
      <c r="A66" s="6">
        <v>65.0</v>
      </c>
      <c r="B66" s="6" t="s">
        <v>88</v>
      </c>
      <c r="C66" s="6" t="s">
        <v>346</v>
      </c>
      <c r="D66" s="6" t="s">
        <v>347</v>
      </c>
      <c r="E66" s="6" t="s">
        <v>348</v>
      </c>
      <c r="F66" s="6" t="s">
        <v>25</v>
      </c>
      <c r="G66" s="6" t="s">
        <v>64</v>
      </c>
      <c r="H66" s="6" t="s">
        <v>349</v>
      </c>
      <c r="I66" s="6" t="s">
        <v>350</v>
      </c>
      <c r="J66" s="6">
        <v>19.0</v>
      </c>
      <c r="K66" s="6" t="s">
        <v>351</v>
      </c>
      <c r="L66" s="6" t="s">
        <v>30</v>
      </c>
    </row>
    <row r="67" ht="23.25" customHeight="1">
      <c r="A67" s="6">
        <v>66.0</v>
      </c>
      <c r="B67" s="6" t="s">
        <v>88</v>
      </c>
      <c r="C67" s="6" t="s">
        <v>352</v>
      </c>
      <c r="D67" s="6" t="s">
        <v>353</v>
      </c>
      <c r="E67" s="6" t="s">
        <v>354</v>
      </c>
      <c r="F67" s="6" t="s">
        <v>25</v>
      </c>
      <c r="G67" s="6" t="s">
        <v>64</v>
      </c>
      <c r="H67" s="6" t="s">
        <v>355</v>
      </c>
      <c r="I67" s="6" t="s">
        <v>356</v>
      </c>
      <c r="J67" s="6">
        <v>19.0</v>
      </c>
      <c r="K67" s="6" t="s">
        <v>357</v>
      </c>
      <c r="L67" s="6" t="s">
        <v>30</v>
      </c>
    </row>
    <row r="68" ht="23.25" customHeight="1">
      <c r="A68" s="6">
        <v>67.0</v>
      </c>
      <c r="B68" s="6" t="s">
        <v>21</v>
      </c>
      <c r="C68" s="6" t="s">
        <v>358</v>
      </c>
      <c r="D68" s="6" t="s">
        <v>39</v>
      </c>
      <c r="E68" s="6" t="s">
        <v>359</v>
      </c>
      <c r="F68" s="6" t="s">
        <v>25</v>
      </c>
      <c r="G68" s="6" t="s">
        <v>64</v>
      </c>
      <c r="H68" s="6" t="s">
        <v>360</v>
      </c>
      <c r="I68" s="6" t="s">
        <v>361</v>
      </c>
      <c r="J68" s="6">
        <v>20.0</v>
      </c>
      <c r="K68" s="6" t="s">
        <v>362</v>
      </c>
      <c r="L68" s="6" t="s">
        <v>30</v>
      </c>
    </row>
    <row r="69" ht="23.25" customHeight="1">
      <c r="A69" s="6">
        <v>68.0</v>
      </c>
      <c r="B69" s="6" t="s">
        <v>21</v>
      </c>
      <c r="C69" s="6" t="s">
        <v>363</v>
      </c>
      <c r="D69" s="6" t="s">
        <v>364</v>
      </c>
      <c r="E69" s="6" t="s">
        <v>365</v>
      </c>
      <c r="F69" s="6" t="s">
        <v>25</v>
      </c>
      <c r="G69" s="6" t="s">
        <v>64</v>
      </c>
      <c r="H69" s="6" t="s">
        <v>366</v>
      </c>
      <c r="I69" s="6" t="s">
        <v>367</v>
      </c>
      <c r="J69" s="6">
        <v>20.0</v>
      </c>
      <c r="K69" s="6" t="s">
        <v>368</v>
      </c>
      <c r="L69" s="6" t="s">
        <v>30</v>
      </c>
    </row>
    <row r="70" ht="23.25" customHeight="1">
      <c r="A70" s="6">
        <v>69.0</v>
      </c>
      <c r="B70" s="6" t="s">
        <v>88</v>
      </c>
      <c r="C70" s="6" t="s">
        <v>369</v>
      </c>
      <c r="D70" s="6" t="s">
        <v>370</v>
      </c>
      <c r="E70" s="6" t="s">
        <v>371</v>
      </c>
      <c r="F70" s="6" t="s">
        <v>25</v>
      </c>
      <c r="G70" s="6" t="s">
        <v>64</v>
      </c>
      <c r="H70" s="6" t="s">
        <v>372</v>
      </c>
      <c r="I70" s="6" t="s">
        <v>136</v>
      </c>
      <c r="J70" s="6">
        <v>20.0</v>
      </c>
      <c r="K70" s="6" t="s">
        <v>373</v>
      </c>
      <c r="L70" s="6" t="s">
        <v>30</v>
      </c>
    </row>
    <row r="71" ht="23.25" customHeight="1">
      <c r="A71" s="6">
        <v>70.0</v>
      </c>
      <c r="B71" s="6" t="s">
        <v>21</v>
      </c>
      <c r="C71" s="6" t="s">
        <v>374</v>
      </c>
      <c r="D71" s="6" t="s">
        <v>375</v>
      </c>
      <c r="E71" s="6" t="s">
        <v>376</v>
      </c>
      <c r="F71" s="6" t="s">
        <v>25</v>
      </c>
      <c r="G71" s="6" t="s">
        <v>64</v>
      </c>
      <c r="H71" s="6" t="s">
        <v>377</v>
      </c>
      <c r="I71" s="6" t="s">
        <v>378</v>
      </c>
      <c r="J71" s="6">
        <v>21.0</v>
      </c>
      <c r="K71" s="6" t="s">
        <v>379</v>
      </c>
      <c r="L71" s="6" t="s">
        <v>30</v>
      </c>
    </row>
    <row r="72" ht="23.25" customHeight="1">
      <c r="A72" s="6">
        <v>71.0</v>
      </c>
      <c r="B72" s="6" t="s">
        <v>21</v>
      </c>
      <c r="C72" s="6" t="s">
        <v>380</v>
      </c>
      <c r="D72" s="6" t="s">
        <v>199</v>
      </c>
      <c r="E72" s="6" t="s">
        <v>381</v>
      </c>
      <c r="F72" s="6" t="s">
        <v>25</v>
      </c>
      <c r="G72" s="6" t="s">
        <v>64</v>
      </c>
      <c r="H72" s="6" t="s">
        <v>382</v>
      </c>
      <c r="I72" s="6" t="s">
        <v>383</v>
      </c>
      <c r="J72" s="6">
        <v>21.0</v>
      </c>
      <c r="K72" s="6" t="s">
        <v>384</v>
      </c>
      <c r="L72" s="6" t="s">
        <v>30</v>
      </c>
    </row>
    <row r="73" ht="23.25" customHeight="1">
      <c r="A73" s="6">
        <v>72.0</v>
      </c>
      <c r="B73" s="6" t="s">
        <v>21</v>
      </c>
      <c r="C73" s="6" t="s">
        <v>385</v>
      </c>
      <c r="D73" s="6" t="s">
        <v>386</v>
      </c>
      <c r="E73" s="6" t="s">
        <v>387</v>
      </c>
      <c r="F73" s="6" t="s">
        <v>25</v>
      </c>
      <c r="G73" s="6" t="s">
        <v>64</v>
      </c>
      <c r="H73" s="6" t="s">
        <v>388</v>
      </c>
      <c r="I73" s="6" t="s">
        <v>28</v>
      </c>
      <c r="J73" s="6">
        <v>21.0</v>
      </c>
      <c r="K73" s="6" t="s">
        <v>230</v>
      </c>
      <c r="L73" s="6" t="s">
        <v>30</v>
      </c>
    </row>
    <row r="74" ht="23.25" customHeight="1">
      <c r="A74" s="6">
        <v>73.0</v>
      </c>
      <c r="B74" s="6" t="s">
        <v>21</v>
      </c>
      <c r="C74" s="6" t="s">
        <v>389</v>
      </c>
      <c r="D74" s="6" t="s">
        <v>39</v>
      </c>
      <c r="E74" s="6" t="s">
        <v>390</v>
      </c>
      <c r="F74" s="6" t="s">
        <v>25</v>
      </c>
      <c r="G74" s="6" t="s">
        <v>64</v>
      </c>
      <c r="H74" s="6" t="s">
        <v>391</v>
      </c>
      <c r="I74" s="6" t="s">
        <v>36</v>
      </c>
      <c r="J74" s="6">
        <v>21.0</v>
      </c>
      <c r="K74" s="6" t="s">
        <v>392</v>
      </c>
      <c r="L74" s="6" t="s">
        <v>30</v>
      </c>
    </row>
    <row r="75" ht="23.25" customHeight="1">
      <c r="A75" s="6">
        <v>74.0</v>
      </c>
      <c r="B75" s="6" t="s">
        <v>21</v>
      </c>
      <c r="C75" s="6" t="s">
        <v>393</v>
      </c>
      <c r="D75" s="6" t="s">
        <v>39</v>
      </c>
      <c r="E75" s="6" t="s">
        <v>394</v>
      </c>
      <c r="F75" s="6" t="s">
        <v>25</v>
      </c>
      <c r="G75" s="6" t="s">
        <v>64</v>
      </c>
      <c r="H75" s="6" t="s">
        <v>395</v>
      </c>
      <c r="I75" s="6" t="s">
        <v>111</v>
      </c>
      <c r="J75" s="6">
        <v>21.0</v>
      </c>
      <c r="K75" s="6" t="s">
        <v>396</v>
      </c>
      <c r="L75" s="6" t="s">
        <v>30</v>
      </c>
    </row>
    <row r="76" ht="23.25" customHeight="1">
      <c r="A76" s="6">
        <v>75.0</v>
      </c>
      <c r="B76" s="6" t="s">
        <v>21</v>
      </c>
      <c r="C76" s="6" t="s">
        <v>397</v>
      </c>
      <c r="D76" s="6" t="s">
        <v>39</v>
      </c>
      <c r="E76" s="6" t="s">
        <v>398</v>
      </c>
      <c r="F76" s="6" t="s">
        <v>25</v>
      </c>
      <c r="G76" s="6" t="s">
        <v>64</v>
      </c>
      <c r="H76" s="6" t="s">
        <v>399</v>
      </c>
      <c r="I76" s="6" t="s">
        <v>171</v>
      </c>
      <c r="J76" s="6">
        <v>21.0</v>
      </c>
      <c r="K76" s="6" t="s">
        <v>400</v>
      </c>
      <c r="L76" s="6" t="s">
        <v>30</v>
      </c>
    </row>
    <row r="77" ht="23.25" customHeight="1">
      <c r="A77" s="6">
        <v>76.0</v>
      </c>
      <c r="B77" s="6" t="s">
        <v>88</v>
      </c>
      <c r="C77" s="6" t="s">
        <v>401</v>
      </c>
      <c r="D77" s="6" t="s">
        <v>39</v>
      </c>
      <c r="E77" s="6" t="s">
        <v>402</v>
      </c>
      <c r="F77" s="6" t="s">
        <v>25</v>
      </c>
      <c r="G77" s="6" t="s">
        <v>64</v>
      </c>
      <c r="H77" s="6" t="s">
        <v>403</v>
      </c>
      <c r="I77" s="6" t="s">
        <v>404</v>
      </c>
      <c r="J77" s="6">
        <v>21.0</v>
      </c>
      <c r="K77" s="6" t="s">
        <v>405</v>
      </c>
      <c r="L77" s="6" t="s">
        <v>30</v>
      </c>
    </row>
    <row r="78" ht="23.25" customHeight="1">
      <c r="A78" s="6">
        <v>77.0</v>
      </c>
      <c r="B78" s="6" t="s">
        <v>88</v>
      </c>
      <c r="C78" s="6" t="s">
        <v>406</v>
      </c>
      <c r="D78" s="6" t="s">
        <v>407</v>
      </c>
      <c r="E78" s="6" t="s">
        <v>408</v>
      </c>
      <c r="F78" s="6" t="s">
        <v>25</v>
      </c>
      <c r="G78" s="6" t="s">
        <v>64</v>
      </c>
      <c r="H78" s="6" t="s">
        <v>409</v>
      </c>
      <c r="I78" s="6" t="s">
        <v>304</v>
      </c>
      <c r="J78" s="6">
        <v>22.0</v>
      </c>
      <c r="K78" s="6" t="s">
        <v>341</v>
      </c>
      <c r="L78" s="6" t="s">
        <v>30</v>
      </c>
    </row>
    <row r="79" ht="23.25" customHeight="1">
      <c r="A79" s="6">
        <v>78.0</v>
      </c>
      <c r="B79" s="6" t="s">
        <v>88</v>
      </c>
      <c r="C79" s="6" t="s">
        <v>410</v>
      </c>
      <c r="D79" s="6" t="s">
        <v>411</v>
      </c>
      <c r="E79" s="6" t="s">
        <v>412</v>
      </c>
      <c r="F79" s="6" t="s">
        <v>25</v>
      </c>
      <c r="G79" s="6" t="s">
        <v>64</v>
      </c>
      <c r="H79" s="6" t="s">
        <v>413</v>
      </c>
      <c r="I79" s="6" t="s">
        <v>76</v>
      </c>
      <c r="J79" s="6">
        <v>22.0</v>
      </c>
      <c r="K79" s="6" t="s">
        <v>414</v>
      </c>
      <c r="L79" s="6" t="s">
        <v>30</v>
      </c>
    </row>
    <row r="80" ht="23.25" customHeight="1">
      <c r="A80" s="6">
        <v>79.0</v>
      </c>
      <c r="B80" s="6" t="s">
        <v>21</v>
      </c>
      <c r="C80" s="6" t="s">
        <v>415</v>
      </c>
      <c r="D80" s="6" t="s">
        <v>416</v>
      </c>
      <c r="E80" s="6" t="s">
        <v>417</v>
      </c>
      <c r="F80" s="6" t="s">
        <v>25</v>
      </c>
      <c r="G80" s="6" t="s">
        <v>64</v>
      </c>
      <c r="H80" s="6" t="s">
        <v>418</v>
      </c>
      <c r="I80" s="6" t="s">
        <v>419</v>
      </c>
      <c r="J80" s="6">
        <v>23.0</v>
      </c>
      <c r="K80" s="6" t="s">
        <v>420</v>
      </c>
      <c r="L80" s="6" t="s">
        <v>30</v>
      </c>
    </row>
    <row r="81" ht="23.25" customHeight="1">
      <c r="A81" s="6">
        <v>80.0</v>
      </c>
      <c r="B81" s="6" t="s">
        <v>21</v>
      </c>
      <c r="C81" s="6" t="s">
        <v>421</v>
      </c>
      <c r="D81" s="6" t="s">
        <v>39</v>
      </c>
      <c r="E81" s="6" t="s">
        <v>422</v>
      </c>
      <c r="F81" s="6" t="s">
        <v>25</v>
      </c>
      <c r="G81" s="6" t="s">
        <v>64</v>
      </c>
      <c r="H81" s="6" t="s">
        <v>423</v>
      </c>
      <c r="I81" s="6" t="s">
        <v>424</v>
      </c>
      <c r="J81" s="6">
        <v>23.0</v>
      </c>
      <c r="K81" s="6" t="s">
        <v>425</v>
      </c>
      <c r="L81" s="6" t="s">
        <v>30</v>
      </c>
    </row>
    <row r="82" ht="23.25" customHeight="1">
      <c r="A82" s="6">
        <v>81.0</v>
      </c>
      <c r="B82" s="6" t="s">
        <v>88</v>
      </c>
      <c r="C82" s="6" t="s">
        <v>426</v>
      </c>
      <c r="D82" s="6" t="s">
        <v>427</v>
      </c>
      <c r="E82" s="6" t="s">
        <v>428</v>
      </c>
      <c r="F82" s="6" t="s">
        <v>25</v>
      </c>
      <c r="G82" s="6" t="s">
        <v>64</v>
      </c>
      <c r="H82" s="6" t="s">
        <v>429</v>
      </c>
      <c r="I82" s="6" t="s">
        <v>131</v>
      </c>
      <c r="J82" s="6">
        <v>24.0</v>
      </c>
      <c r="K82" s="6" t="s">
        <v>430</v>
      </c>
      <c r="L82" s="6" t="s">
        <v>30</v>
      </c>
    </row>
    <row r="83" ht="23.25" customHeight="1">
      <c r="A83" s="6">
        <v>82.0</v>
      </c>
      <c r="B83" s="6" t="s">
        <v>21</v>
      </c>
      <c r="C83" s="6" t="s">
        <v>431</v>
      </c>
      <c r="D83" s="6" t="s">
        <v>39</v>
      </c>
      <c r="E83" s="6" t="s">
        <v>432</v>
      </c>
      <c r="F83" s="6" t="s">
        <v>25</v>
      </c>
      <c r="G83" s="6" t="s">
        <v>64</v>
      </c>
      <c r="H83" s="6" t="s">
        <v>433</v>
      </c>
      <c r="I83" s="6" t="s">
        <v>434</v>
      </c>
      <c r="J83" s="6">
        <v>24.0</v>
      </c>
      <c r="K83" s="6" t="s">
        <v>435</v>
      </c>
      <c r="L83" s="6" t="s">
        <v>30</v>
      </c>
    </row>
    <row r="84" ht="23.25" customHeight="1">
      <c r="A84" s="6">
        <v>83.0</v>
      </c>
      <c r="B84" s="6" t="s">
        <v>88</v>
      </c>
      <c r="C84" s="6" t="s">
        <v>436</v>
      </c>
      <c r="D84" s="6" t="s">
        <v>437</v>
      </c>
      <c r="E84" s="6" t="s">
        <v>438</v>
      </c>
      <c r="F84" s="6" t="s">
        <v>25</v>
      </c>
      <c r="G84" s="6" t="s">
        <v>439</v>
      </c>
      <c r="H84" s="6" t="s">
        <v>440</v>
      </c>
      <c r="I84" s="6" t="s">
        <v>419</v>
      </c>
      <c r="J84" s="6">
        <v>25.0</v>
      </c>
      <c r="K84" s="6" t="s">
        <v>441</v>
      </c>
      <c r="L84" s="6" t="s">
        <v>30</v>
      </c>
    </row>
    <row r="85" ht="23.25" customHeight="1">
      <c r="A85" s="6">
        <v>84.0</v>
      </c>
      <c r="B85" s="6" t="s">
        <v>88</v>
      </c>
      <c r="C85" s="6" t="s">
        <v>442</v>
      </c>
      <c r="D85" s="6" t="s">
        <v>443</v>
      </c>
      <c r="E85" s="6" t="s">
        <v>444</v>
      </c>
      <c r="F85" s="6" t="s">
        <v>25</v>
      </c>
      <c r="G85" s="6" t="s">
        <v>64</v>
      </c>
      <c r="H85" s="6" t="s">
        <v>445</v>
      </c>
      <c r="I85" s="6" t="s">
        <v>111</v>
      </c>
      <c r="J85" s="6">
        <v>25.0</v>
      </c>
      <c r="K85" s="6" t="s">
        <v>446</v>
      </c>
      <c r="L85" s="6" t="s">
        <v>30</v>
      </c>
    </row>
    <row r="86" ht="23.25" customHeight="1">
      <c r="A86" s="6">
        <v>85.0</v>
      </c>
      <c r="B86" s="6" t="s">
        <v>21</v>
      </c>
      <c r="C86" s="6" t="s">
        <v>447</v>
      </c>
      <c r="D86" s="6" t="s">
        <v>39</v>
      </c>
      <c r="E86" s="6" t="s">
        <v>448</v>
      </c>
      <c r="F86" s="6" t="s">
        <v>25</v>
      </c>
      <c r="G86" s="6" t="s">
        <v>64</v>
      </c>
      <c r="H86" s="6" t="s">
        <v>449</v>
      </c>
      <c r="I86" s="6" t="s">
        <v>66</v>
      </c>
      <c r="J86" s="6">
        <v>25.0</v>
      </c>
      <c r="K86" s="6" t="s">
        <v>230</v>
      </c>
      <c r="L86" s="6" t="s">
        <v>30</v>
      </c>
    </row>
    <row r="87" ht="23.25" customHeight="1">
      <c r="A87" s="6">
        <v>86.0</v>
      </c>
      <c r="B87" s="6" t="s">
        <v>88</v>
      </c>
      <c r="C87" s="6" t="s">
        <v>450</v>
      </c>
      <c r="D87" s="6" t="s">
        <v>39</v>
      </c>
      <c r="E87" s="6" t="s">
        <v>451</v>
      </c>
      <c r="F87" s="6" t="s">
        <v>25</v>
      </c>
      <c r="G87" s="6" t="s">
        <v>452</v>
      </c>
      <c r="H87" s="6" t="s">
        <v>453</v>
      </c>
      <c r="I87" s="6" t="s">
        <v>454</v>
      </c>
      <c r="J87" s="6">
        <v>26.0</v>
      </c>
      <c r="K87" s="6" t="s">
        <v>455</v>
      </c>
      <c r="L87" s="6" t="s">
        <v>30</v>
      </c>
    </row>
    <row r="88" ht="23.25" customHeight="1">
      <c r="A88" s="6">
        <v>87.0</v>
      </c>
      <c r="B88" s="6" t="s">
        <v>21</v>
      </c>
      <c r="C88" s="6" t="s">
        <v>456</v>
      </c>
      <c r="D88" s="6" t="s">
        <v>457</v>
      </c>
      <c r="E88" s="6" t="s">
        <v>458</v>
      </c>
      <c r="F88" s="6" t="s">
        <v>25</v>
      </c>
      <c r="G88" s="6" t="s">
        <v>64</v>
      </c>
      <c r="H88" s="6" t="s">
        <v>459</v>
      </c>
      <c r="I88" s="6" t="s">
        <v>208</v>
      </c>
      <c r="J88" s="6">
        <v>26.0</v>
      </c>
      <c r="K88" s="6" t="s">
        <v>460</v>
      </c>
      <c r="L88" s="6" t="s">
        <v>30</v>
      </c>
    </row>
    <row r="89" ht="23.25" customHeight="1">
      <c r="A89" s="6">
        <v>88.0</v>
      </c>
      <c r="B89" s="6" t="s">
        <v>88</v>
      </c>
      <c r="C89" s="6" t="s">
        <v>461</v>
      </c>
      <c r="D89" s="6" t="s">
        <v>462</v>
      </c>
      <c r="E89" s="6" t="s">
        <v>463</v>
      </c>
      <c r="F89" s="6" t="s">
        <v>25</v>
      </c>
      <c r="G89" s="6" t="s">
        <v>64</v>
      </c>
      <c r="H89" s="6" t="s">
        <v>464</v>
      </c>
      <c r="I89" s="6" t="s">
        <v>465</v>
      </c>
      <c r="J89" s="6">
        <v>27.0</v>
      </c>
      <c r="K89" s="6" t="s">
        <v>466</v>
      </c>
      <c r="L89" s="6" t="s">
        <v>30</v>
      </c>
    </row>
    <row r="90" ht="23.25" customHeight="1">
      <c r="A90" s="6">
        <v>89.0</v>
      </c>
      <c r="B90" s="6" t="s">
        <v>21</v>
      </c>
      <c r="C90" s="6" t="s">
        <v>467</v>
      </c>
      <c r="D90" s="6" t="s">
        <v>39</v>
      </c>
      <c r="E90" s="6" t="s">
        <v>468</v>
      </c>
      <c r="F90" s="6" t="s">
        <v>25</v>
      </c>
      <c r="G90" s="6" t="s">
        <v>64</v>
      </c>
      <c r="H90" s="6" t="s">
        <v>469</v>
      </c>
      <c r="I90" s="6" t="s">
        <v>279</v>
      </c>
      <c r="J90" s="6">
        <v>27.0</v>
      </c>
      <c r="K90" s="6" t="s">
        <v>470</v>
      </c>
      <c r="L90" s="6" t="s">
        <v>30</v>
      </c>
    </row>
    <row r="91" ht="23.25" customHeight="1">
      <c r="A91" s="6">
        <v>90.0</v>
      </c>
      <c r="B91" s="6" t="s">
        <v>21</v>
      </c>
      <c r="C91" s="6" t="s">
        <v>471</v>
      </c>
      <c r="D91" s="6" t="s">
        <v>39</v>
      </c>
      <c r="E91" s="6" t="s">
        <v>472</v>
      </c>
      <c r="F91" s="6" t="s">
        <v>25</v>
      </c>
      <c r="G91" s="6" t="s">
        <v>64</v>
      </c>
      <c r="H91" s="6" t="s">
        <v>473</v>
      </c>
      <c r="I91" s="6" t="s">
        <v>474</v>
      </c>
      <c r="J91" s="6">
        <v>27.0</v>
      </c>
      <c r="K91" s="6" t="s">
        <v>475</v>
      </c>
      <c r="L91" s="6" t="s">
        <v>30</v>
      </c>
    </row>
    <row r="92" ht="23.25" customHeight="1">
      <c r="A92" s="6">
        <v>91.0</v>
      </c>
      <c r="B92" s="6" t="s">
        <v>88</v>
      </c>
      <c r="C92" s="6" t="s">
        <v>476</v>
      </c>
      <c r="D92" s="6" t="s">
        <v>477</v>
      </c>
      <c r="E92" s="6" t="s">
        <v>478</v>
      </c>
      <c r="F92" s="6" t="s">
        <v>25</v>
      </c>
      <c r="G92" s="6" t="s">
        <v>64</v>
      </c>
      <c r="H92" s="6" t="s">
        <v>479</v>
      </c>
      <c r="I92" s="6" t="s">
        <v>480</v>
      </c>
      <c r="J92" s="6">
        <v>28.0</v>
      </c>
      <c r="K92" s="6" t="s">
        <v>357</v>
      </c>
      <c r="L92" s="6" t="s">
        <v>30</v>
      </c>
    </row>
    <row r="93" ht="23.25" customHeight="1">
      <c r="A93" s="6">
        <v>92.0</v>
      </c>
      <c r="B93" s="6" t="s">
        <v>21</v>
      </c>
      <c r="C93" s="6" t="s">
        <v>481</v>
      </c>
      <c r="D93" s="6" t="s">
        <v>482</v>
      </c>
      <c r="E93" s="6" t="s">
        <v>483</v>
      </c>
      <c r="F93" s="6" t="s">
        <v>25</v>
      </c>
      <c r="G93" s="6" t="s">
        <v>64</v>
      </c>
      <c r="H93" s="6" t="s">
        <v>484</v>
      </c>
      <c r="I93" s="6" t="s">
        <v>59</v>
      </c>
      <c r="J93" s="6">
        <v>29.0</v>
      </c>
      <c r="K93" s="6" t="s">
        <v>485</v>
      </c>
      <c r="L93" s="6" t="s">
        <v>30</v>
      </c>
    </row>
    <row r="94" ht="23.25" customHeight="1">
      <c r="A94" s="6">
        <v>93.0</v>
      </c>
      <c r="B94" s="6" t="s">
        <v>21</v>
      </c>
      <c r="C94" s="6" t="s">
        <v>486</v>
      </c>
      <c r="D94" s="6" t="s">
        <v>39</v>
      </c>
      <c r="E94" s="6" t="s">
        <v>487</v>
      </c>
      <c r="F94" s="6" t="s">
        <v>25</v>
      </c>
      <c r="G94" s="6" t="s">
        <v>64</v>
      </c>
      <c r="H94" s="6" t="s">
        <v>488</v>
      </c>
      <c r="I94" s="6" t="s">
        <v>304</v>
      </c>
      <c r="J94" s="6">
        <v>29.0</v>
      </c>
      <c r="K94" s="6" t="s">
        <v>489</v>
      </c>
      <c r="L94" s="6" t="s">
        <v>30</v>
      </c>
    </row>
    <row r="95" ht="23.25" customHeight="1">
      <c r="A95" s="6">
        <v>94.0</v>
      </c>
      <c r="B95" s="6" t="s">
        <v>88</v>
      </c>
      <c r="C95" s="6" t="s">
        <v>490</v>
      </c>
      <c r="D95" s="6" t="s">
        <v>491</v>
      </c>
      <c r="E95" s="6" t="s">
        <v>492</v>
      </c>
      <c r="F95" s="6" t="s">
        <v>25</v>
      </c>
      <c r="G95" s="6" t="s">
        <v>64</v>
      </c>
      <c r="H95" s="6" t="s">
        <v>493</v>
      </c>
      <c r="I95" s="6" t="s">
        <v>115</v>
      </c>
      <c r="J95" s="6">
        <v>29.0</v>
      </c>
      <c r="K95" s="6" t="s">
        <v>357</v>
      </c>
      <c r="L95" s="6" t="s">
        <v>30</v>
      </c>
    </row>
    <row r="96" ht="23.25" customHeight="1">
      <c r="A96" s="6">
        <v>95.0</v>
      </c>
      <c r="B96" s="6" t="s">
        <v>21</v>
      </c>
      <c r="C96" s="6" t="s">
        <v>494</v>
      </c>
      <c r="D96" s="6" t="s">
        <v>39</v>
      </c>
      <c r="E96" s="6" t="s">
        <v>495</v>
      </c>
      <c r="F96" s="6" t="s">
        <v>25</v>
      </c>
      <c r="G96" s="6" t="s">
        <v>64</v>
      </c>
      <c r="H96" s="6" t="s">
        <v>496</v>
      </c>
      <c r="I96" s="6" t="s">
        <v>219</v>
      </c>
      <c r="J96" s="6">
        <v>29.0</v>
      </c>
      <c r="K96" s="6" t="s">
        <v>230</v>
      </c>
      <c r="L96" s="6" t="s">
        <v>30</v>
      </c>
    </row>
    <row r="97" ht="23.25" customHeight="1">
      <c r="A97" s="6">
        <v>96.0</v>
      </c>
      <c r="B97" s="6" t="s">
        <v>88</v>
      </c>
      <c r="C97" s="6" t="s">
        <v>497</v>
      </c>
      <c r="D97" s="6" t="s">
        <v>39</v>
      </c>
      <c r="E97" s="6" t="s">
        <v>498</v>
      </c>
      <c r="F97" s="6" t="s">
        <v>25</v>
      </c>
      <c r="G97" s="6" t="s">
        <v>64</v>
      </c>
      <c r="H97" s="6" t="s">
        <v>499</v>
      </c>
      <c r="I97" s="6" t="s">
        <v>465</v>
      </c>
      <c r="J97" s="6">
        <v>30.0</v>
      </c>
      <c r="K97" s="6" t="s">
        <v>500</v>
      </c>
      <c r="L97" s="6" t="s">
        <v>30</v>
      </c>
    </row>
    <row r="98" ht="23.25" customHeight="1">
      <c r="A98" s="6">
        <v>97.0</v>
      </c>
      <c r="B98" s="6" t="s">
        <v>88</v>
      </c>
      <c r="C98" s="6" t="s">
        <v>501</v>
      </c>
      <c r="D98" s="6" t="s">
        <v>502</v>
      </c>
      <c r="E98" s="6" t="s">
        <v>503</v>
      </c>
      <c r="F98" s="6" t="s">
        <v>25</v>
      </c>
      <c r="G98" s="6" t="s">
        <v>64</v>
      </c>
      <c r="H98" s="6" t="s">
        <v>504</v>
      </c>
      <c r="I98" s="6" t="s">
        <v>86</v>
      </c>
      <c r="J98" s="6">
        <v>30.0</v>
      </c>
      <c r="K98" s="6" t="s">
        <v>505</v>
      </c>
      <c r="L98" s="6" t="s">
        <v>30</v>
      </c>
    </row>
    <row r="99" ht="23.25" customHeight="1">
      <c r="A99" s="6">
        <v>98.0</v>
      </c>
      <c r="B99" s="6" t="s">
        <v>88</v>
      </c>
      <c r="C99" s="6" t="s">
        <v>506</v>
      </c>
      <c r="D99" s="6" t="s">
        <v>507</v>
      </c>
      <c r="E99" s="6" t="s">
        <v>508</v>
      </c>
      <c r="F99" s="6" t="s">
        <v>25</v>
      </c>
      <c r="G99" s="6" t="s">
        <v>64</v>
      </c>
      <c r="H99" s="6" t="s">
        <v>509</v>
      </c>
      <c r="I99" s="6" t="s">
        <v>131</v>
      </c>
      <c r="J99" s="6">
        <v>31.0</v>
      </c>
      <c r="K99" s="6" t="s">
        <v>510</v>
      </c>
      <c r="L99" s="6" t="s">
        <v>30</v>
      </c>
    </row>
    <row r="100" ht="23.25" customHeight="1">
      <c r="A100" s="6">
        <v>99.0</v>
      </c>
      <c r="B100" s="6" t="s">
        <v>88</v>
      </c>
      <c r="C100" s="6" t="s">
        <v>511</v>
      </c>
      <c r="D100" s="6" t="s">
        <v>512</v>
      </c>
      <c r="E100" s="6" t="s">
        <v>513</v>
      </c>
      <c r="F100" s="6" t="s">
        <v>25</v>
      </c>
      <c r="G100" s="6" t="s">
        <v>64</v>
      </c>
      <c r="H100" s="6" t="s">
        <v>514</v>
      </c>
      <c r="I100" s="6" t="s">
        <v>383</v>
      </c>
      <c r="J100" s="6">
        <v>32.0</v>
      </c>
      <c r="K100" s="6" t="s">
        <v>93</v>
      </c>
      <c r="L100" s="6" t="s">
        <v>30</v>
      </c>
    </row>
    <row r="101" ht="23.25" customHeight="1">
      <c r="A101" s="6">
        <v>100.0</v>
      </c>
      <c r="B101" s="6" t="s">
        <v>21</v>
      </c>
      <c r="C101" s="6" t="s">
        <v>515</v>
      </c>
      <c r="D101" s="6" t="s">
        <v>516</v>
      </c>
      <c r="E101" s="6" t="s">
        <v>517</v>
      </c>
      <c r="F101" s="6" t="s">
        <v>25</v>
      </c>
      <c r="G101" s="6" t="s">
        <v>518</v>
      </c>
      <c r="H101" s="6" t="s">
        <v>519</v>
      </c>
      <c r="I101" s="6" t="s">
        <v>141</v>
      </c>
      <c r="J101" s="6">
        <v>33.0</v>
      </c>
      <c r="K101" s="6" t="s">
        <v>520</v>
      </c>
      <c r="L101" s="6" t="s">
        <v>30</v>
      </c>
    </row>
  </sheetData>
  <autoFilter ref="$A$1:$L$10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12.0"/>
    <col customWidth="1" min="3" max="3" width="34.0"/>
    <col customWidth="1" min="4" max="4" width="26.0"/>
    <col customWidth="1" min="5" max="5" width="16.0"/>
    <col customWidth="1" min="6" max="6" width="30.0"/>
    <col customWidth="1" min="7" max="7" width="26.0"/>
    <col customWidth="1" min="8" max="8" width="34.0"/>
    <col customWidth="1" min="9" max="9" width="16.0"/>
    <col customWidth="1" min="10" max="10" width="14.0"/>
    <col customWidth="1" min="11" max="11" width="34.0"/>
    <col customWidth="1" min="12" max="12" width="26.0"/>
  </cols>
  <sheetData>
    <row r="1" ht="39.0" customHeight="1">
      <c r="A1" s="7" t="s">
        <v>521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522</v>
      </c>
      <c r="L1" s="7" t="s">
        <v>20</v>
      </c>
    </row>
    <row r="2" ht="23.25" customHeight="1">
      <c r="A2" s="6">
        <v>1.0</v>
      </c>
      <c r="B2" s="6" t="s">
        <v>88</v>
      </c>
      <c r="C2" s="6" t="s">
        <v>523</v>
      </c>
      <c r="D2" s="6" t="s">
        <v>524</v>
      </c>
      <c r="E2" s="6" t="s">
        <v>525</v>
      </c>
      <c r="F2" s="6" t="s">
        <v>526</v>
      </c>
      <c r="G2" s="6" t="s">
        <v>527</v>
      </c>
      <c r="H2" s="6" t="s">
        <v>528</v>
      </c>
      <c r="I2" s="6" t="s">
        <v>141</v>
      </c>
      <c r="J2" s="6">
        <v>90.0</v>
      </c>
      <c r="K2" s="6" t="s">
        <v>529</v>
      </c>
      <c r="L2" s="6" t="s">
        <v>530</v>
      </c>
    </row>
    <row r="3" ht="23.25" customHeight="1">
      <c r="A3" s="6">
        <v>2.0</v>
      </c>
      <c r="B3" s="6" t="s">
        <v>88</v>
      </c>
      <c r="C3" s="6" t="s">
        <v>531</v>
      </c>
      <c r="D3" s="6" t="s">
        <v>532</v>
      </c>
      <c r="E3" s="6" t="s">
        <v>533</v>
      </c>
      <c r="F3" s="6" t="s">
        <v>25</v>
      </c>
      <c r="G3" s="6" t="s">
        <v>534</v>
      </c>
      <c r="H3" s="6" t="s">
        <v>535</v>
      </c>
      <c r="I3" s="6" t="s">
        <v>141</v>
      </c>
      <c r="J3" s="6">
        <v>132.0</v>
      </c>
      <c r="K3" s="6" t="s">
        <v>536</v>
      </c>
      <c r="L3" s="6" t="s">
        <v>530</v>
      </c>
    </row>
    <row r="4" ht="23.25" customHeight="1">
      <c r="A4" s="6">
        <v>3.0</v>
      </c>
      <c r="B4" s="6" t="s">
        <v>88</v>
      </c>
      <c r="C4" s="6" t="s">
        <v>537</v>
      </c>
      <c r="D4" s="6" t="s">
        <v>538</v>
      </c>
      <c r="E4" s="6" t="s">
        <v>539</v>
      </c>
      <c r="F4" s="6" t="s">
        <v>25</v>
      </c>
      <c r="G4" s="6" t="s">
        <v>540</v>
      </c>
      <c r="H4" s="6" t="s">
        <v>541</v>
      </c>
      <c r="I4" s="6" t="s">
        <v>141</v>
      </c>
      <c r="J4" s="6">
        <v>129.0</v>
      </c>
      <c r="K4" s="6" t="s">
        <v>542</v>
      </c>
      <c r="L4" s="6" t="s">
        <v>543</v>
      </c>
    </row>
    <row r="5" ht="23.25" customHeight="1">
      <c r="A5" s="6">
        <v>4.0</v>
      </c>
      <c r="B5" s="6" t="s">
        <v>88</v>
      </c>
      <c r="C5" s="6" t="s">
        <v>544</v>
      </c>
      <c r="D5" s="6" t="s">
        <v>545</v>
      </c>
      <c r="E5" s="6" t="s">
        <v>546</v>
      </c>
      <c r="F5" s="6" t="s">
        <v>25</v>
      </c>
      <c r="G5" s="6" t="s">
        <v>547</v>
      </c>
      <c r="H5" s="6" t="s">
        <v>548</v>
      </c>
      <c r="I5" s="6" t="s">
        <v>549</v>
      </c>
      <c r="J5" s="6">
        <v>200.0</v>
      </c>
      <c r="K5" s="6" t="s">
        <v>550</v>
      </c>
      <c r="L5" s="6" t="s">
        <v>551</v>
      </c>
    </row>
    <row r="6" ht="23.25" customHeight="1">
      <c r="A6" s="6">
        <v>5.0</v>
      </c>
      <c r="B6" s="6" t="s">
        <v>88</v>
      </c>
      <c r="C6" s="6" t="s">
        <v>552</v>
      </c>
      <c r="D6" s="6" t="s">
        <v>553</v>
      </c>
      <c r="E6" s="6" t="s">
        <v>554</v>
      </c>
      <c r="F6" s="6" t="s">
        <v>25</v>
      </c>
      <c r="G6" s="6" t="s">
        <v>555</v>
      </c>
      <c r="H6" s="6" t="s">
        <v>556</v>
      </c>
      <c r="I6" s="6" t="s">
        <v>549</v>
      </c>
      <c r="J6" s="6">
        <v>184.0</v>
      </c>
      <c r="K6" s="6" t="s">
        <v>557</v>
      </c>
      <c r="L6" s="6" t="s">
        <v>558</v>
      </c>
    </row>
    <row r="7" ht="23.25" customHeight="1">
      <c r="A7" s="6">
        <v>6.0</v>
      </c>
      <c r="B7" s="6" t="s">
        <v>88</v>
      </c>
      <c r="C7" s="6" t="s">
        <v>559</v>
      </c>
      <c r="D7" s="6" t="s">
        <v>560</v>
      </c>
      <c r="E7" s="6" t="s">
        <v>561</v>
      </c>
      <c r="F7" s="6" t="s">
        <v>25</v>
      </c>
      <c r="G7" s="6" t="s">
        <v>562</v>
      </c>
      <c r="H7" s="6" t="s">
        <v>563</v>
      </c>
      <c r="I7" s="6" t="s">
        <v>564</v>
      </c>
      <c r="J7" s="6">
        <v>151.0</v>
      </c>
      <c r="K7" s="6" t="s">
        <v>565</v>
      </c>
      <c r="L7" s="6" t="s">
        <v>566</v>
      </c>
    </row>
    <row r="8" ht="23.25" customHeight="1">
      <c r="A8" s="6">
        <v>7.0</v>
      </c>
      <c r="B8" s="6" t="s">
        <v>88</v>
      </c>
      <c r="C8" s="6" t="s">
        <v>567</v>
      </c>
      <c r="D8" s="6" t="s">
        <v>39</v>
      </c>
      <c r="E8" s="6" t="s">
        <v>568</v>
      </c>
      <c r="F8" s="6" t="s">
        <v>25</v>
      </c>
      <c r="G8" s="6" t="s">
        <v>569</v>
      </c>
      <c r="H8" s="6" t="s">
        <v>570</v>
      </c>
      <c r="I8" s="6" t="s">
        <v>571</v>
      </c>
      <c r="J8" s="6">
        <v>215.0</v>
      </c>
      <c r="K8" s="6" t="s">
        <v>572</v>
      </c>
      <c r="L8" s="6" t="s">
        <v>573</v>
      </c>
    </row>
    <row r="9" ht="23.25" customHeight="1">
      <c r="A9" s="6">
        <v>8.0</v>
      </c>
      <c r="B9" s="6" t="s">
        <v>88</v>
      </c>
      <c r="C9" s="6" t="s">
        <v>574</v>
      </c>
      <c r="D9" s="6" t="s">
        <v>39</v>
      </c>
      <c r="E9" s="6" t="s">
        <v>575</v>
      </c>
      <c r="F9" s="6" t="s">
        <v>25</v>
      </c>
      <c r="G9" s="6" t="s">
        <v>576</v>
      </c>
      <c r="H9" s="6" t="s">
        <v>577</v>
      </c>
      <c r="I9" s="6" t="s">
        <v>361</v>
      </c>
      <c r="J9" s="6">
        <v>539.0</v>
      </c>
      <c r="K9" s="6" t="s">
        <v>578</v>
      </c>
      <c r="L9" s="6" t="s">
        <v>579</v>
      </c>
    </row>
    <row r="10" ht="23.25" customHeight="1">
      <c r="A10" s="6">
        <v>9.0</v>
      </c>
      <c r="B10" s="6" t="s">
        <v>88</v>
      </c>
      <c r="C10" s="6" t="s">
        <v>580</v>
      </c>
      <c r="D10" s="6" t="s">
        <v>581</v>
      </c>
      <c r="E10" s="6" t="s">
        <v>582</v>
      </c>
      <c r="F10" s="6" t="s">
        <v>25</v>
      </c>
      <c r="G10" s="6" t="s">
        <v>583</v>
      </c>
      <c r="H10" s="6" t="s">
        <v>584</v>
      </c>
      <c r="I10" s="6" t="s">
        <v>361</v>
      </c>
      <c r="J10" s="6">
        <v>633.0</v>
      </c>
      <c r="K10" s="6" t="s">
        <v>585</v>
      </c>
      <c r="L10" s="6" t="s">
        <v>586</v>
      </c>
    </row>
    <row r="11" ht="23.25" customHeight="1">
      <c r="A11" s="6">
        <v>10.0</v>
      </c>
      <c r="B11" s="6" t="s">
        <v>88</v>
      </c>
      <c r="C11" s="6" t="s">
        <v>587</v>
      </c>
      <c r="D11" s="6" t="s">
        <v>588</v>
      </c>
      <c r="E11" s="6" t="s">
        <v>589</v>
      </c>
      <c r="F11" s="6" t="s">
        <v>25</v>
      </c>
      <c r="G11" s="6" t="s">
        <v>64</v>
      </c>
      <c r="H11" s="6" t="s">
        <v>590</v>
      </c>
      <c r="I11" s="6" t="s">
        <v>59</v>
      </c>
      <c r="J11" s="6">
        <v>37.0</v>
      </c>
      <c r="K11" s="6" t="s">
        <v>591</v>
      </c>
      <c r="L11" s="6" t="s">
        <v>30</v>
      </c>
    </row>
    <row r="12" ht="23.25" customHeight="1">
      <c r="A12" s="6">
        <v>11.0</v>
      </c>
      <c r="B12" s="6" t="s">
        <v>88</v>
      </c>
      <c r="C12" s="6" t="s">
        <v>592</v>
      </c>
      <c r="D12" s="6" t="s">
        <v>593</v>
      </c>
      <c r="E12" s="6" t="s">
        <v>594</v>
      </c>
      <c r="F12" s="6" t="s">
        <v>25</v>
      </c>
      <c r="G12" s="6" t="s">
        <v>595</v>
      </c>
      <c r="H12" s="6" t="s">
        <v>596</v>
      </c>
      <c r="I12" s="6" t="s">
        <v>59</v>
      </c>
      <c r="J12" s="6">
        <v>37.0</v>
      </c>
      <c r="K12" s="6" t="s">
        <v>597</v>
      </c>
      <c r="L12" s="6" t="s">
        <v>598</v>
      </c>
    </row>
    <row r="13" ht="23.25" customHeight="1">
      <c r="A13" s="6">
        <v>12.0</v>
      </c>
      <c r="B13" s="6" t="s">
        <v>88</v>
      </c>
      <c r="C13" s="6" t="s">
        <v>599</v>
      </c>
      <c r="D13" s="6" t="s">
        <v>600</v>
      </c>
      <c r="E13" s="6" t="s">
        <v>601</v>
      </c>
      <c r="F13" s="6" t="s">
        <v>25</v>
      </c>
      <c r="G13" s="6" t="s">
        <v>602</v>
      </c>
      <c r="H13" s="6" t="s">
        <v>603</v>
      </c>
      <c r="I13" s="6" t="s">
        <v>59</v>
      </c>
      <c r="J13" s="6">
        <v>129.0</v>
      </c>
      <c r="K13" s="6" t="s">
        <v>604</v>
      </c>
      <c r="L13" s="6" t="s">
        <v>530</v>
      </c>
    </row>
    <row r="14" ht="23.25" customHeight="1">
      <c r="A14" s="6">
        <v>13.0</v>
      </c>
      <c r="B14" s="6" t="s">
        <v>88</v>
      </c>
      <c r="C14" s="6" t="s">
        <v>605</v>
      </c>
      <c r="D14" s="6" t="s">
        <v>606</v>
      </c>
      <c r="E14" s="6" t="s">
        <v>607</v>
      </c>
      <c r="F14" s="6" t="s">
        <v>25</v>
      </c>
      <c r="G14" s="6" t="s">
        <v>608</v>
      </c>
      <c r="H14" s="6" t="s">
        <v>609</v>
      </c>
      <c r="I14" s="6" t="s">
        <v>59</v>
      </c>
      <c r="J14" s="6">
        <v>71.0</v>
      </c>
      <c r="K14" s="6" t="s">
        <v>610</v>
      </c>
      <c r="L14" s="6" t="s">
        <v>30</v>
      </c>
    </row>
    <row r="15" ht="23.25" customHeight="1">
      <c r="A15" s="6">
        <v>14.0</v>
      </c>
      <c r="B15" s="6" t="s">
        <v>88</v>
      </c>
      <c r="C15" s="6" t="s">
        <v>436</v>
      </c>
      <c r="D15" s="6" t="s">
        <v>437</v>
      </c>
      <c r="E15" s="6" t="s">
        <v>438</v>
      </c>
      <c r="F15" s="6" t="s">
        <v>25</v>
      </c>
      <c r="G15" s="6" t="s">
        <v>439</v>
      </c>
      <c r="H15" s="6" t="s">
        <v>440</v>
      </c>
      <c r="I15" s="6" t="s">
        <v>419</v>
      </c>
      <c r="J15" s="6">
        <v>25.0</v>
      </c>
      <c r="K15" s="6" t="s">
        <v>441</v>
      </c>
      <c r="L15" s="6" t="s">
        <v>30</v>
      </c>
    </row>
    <row r="16" ht="23.25" customHeight="1">
      <c r="A16" s="6">
        <v>15.0</v>
      </c>
      <c r="B16" s="6" t="s">
        <v>88</v>
      </c>
      <c r="C16" s="6" t="s">
        <v>611</v>
      </c>
      <c r="D16" s="6" t="s">
        <v>39</v>
      </c>
      <c r="E16" s="6" t="s">
        <v>612</v>
      </c>
      <c r="F16" s="6" t="s">
        <v>25</v>
      </c>
      <c r="G16" s="6" t="s">
        <v>613</v>
      </c>
      <c r="H16" s="6" t="s">
        <v>614</v>
      </c>
      <c r="I16" s="6" t="s">
        <v>419</v>
      </c>
      <c r="J16" s="6">
        <v>116.0</v>
      </c>
      <c r="K16" s="6" t="s">
        <v>615</v>
      </c>
      <c r="L16" s="6" t="s">
        <v>573</v>
      </c>
    </row>
    <row r="17" ht="23.25" customHeight="1">
      <c r="A17" s="6">
        <v>16.0</v>
      </c>
      <c r="B17" s="6" t="s">
        <v>88</v>
      </c>
      <c r="C17" s="6" t="s">
        <v>616</v>
      </c>
      <c r="D17" s="6" t="s">
        <v>617</v>
      </c>
      <c r="E17" s="6" t="s">
        <v>618</v>
      </c>
      <c r="F17" s="6" t="s">
        <v>25</v>
      </c>
      <c r="G17" s="6" t="s">
        <v>619</v>
      </c>
      <c r="H17" s="6" t="s">
        <v>620</v>
      </c>
      <c r="I17" s="6" t="s">
        <v>419</v>
      </c>
      <c r="J17" s="6">
        <v>497.0</v>
      </c>
      <c r="K17" s="6" t="s">
        <v>621</v>
      </c>
      <c r="L17" s="6" t="s">
        <v>586</v>
      </c>
    </row>
    <row r="18" ht="23.25" customHeight="1">
      <c r="A18" s="6">
        <v>17.0</v>
      </c>
      <c r="B18" s="6" t="s">
        <v>88</v>
      </c>
      <c r="C18" s="6" t="s">
        <v>622</v>
      </c>
      <c r="D18" s="6" t="s">
        <v>623</v>
      </c>
      <c r="E18" s="6" t="s">
        <v>624</v>
      </c>
      <c r="F18" s="6" t="s">
        <v>25</v>
      </c>
      <c r="G18" s="6" t="s">
        <v>64</v>
      </c>
      <c r="H18" s="6" t="s">
        <v>625</v>
      </c>
      <c r="I18" s="6" t="s">
        <v>626</v>
      </c>
      <c r="J18" s="6">
        <v>83.0</v>
      </c>
      <c r="K18" s="6" t="s">
        <v>627</v>
      </c>
      <c r="L18" s="6" t="s">
        <v>30</v>
      </c>
    </row>
    <row r="19" ht="23.25" customHeight="1">
      <c r="A19" s="6">
        <v>18.0</v>
      </c>
      <c r="B19" s="6" t="s">
        <v>88</v>
      </c>
      <c r="C19" s="6" t="s">
        <v>628</v>
      </c>
      <c r="D19" s="6" t="s">
        <v>629</v>
      </c>
      <c r="E19" s="6" t="s">
        <v>630</v>
      </c>
      <c r="F19" s="6" t="s">
        <v>25</v>
      </c>
      <c r="G19" s="6" t="s">
        <v>631</v>
      </c>
      <c r="H19" s="6" t="s">
        <v>632</v>
      </c>
      <c r="I19" s="6" t="s">
        <v>251</v>
      </c>
      <c r="J19" s="6">
        <v>94.0</v>
      </c>
      <c r="K19" s="6" t="s">
        <v>633</v>
      </c>
      <c r="L19" s="6" t="s">
        <v>530</v>
      </c>
    </row>
    <row r="20" ht="23.25" customHeight="1">
      <c r="A20" s="6">
        <v>19.0</v>
      </c>
      <c r="B20" s="6" t="s">
        <v>88</v>
      </c>
      <c r="C20" s="6" t="s">
        <v>634</v>
      </c>
      <c r="D20" s="6" t="s">
        <v>635</v>
      </c>
      <c r="E20" s="6" t="s">
        <v>636</v>
      </c>
      <c r="F20" s="6" t="s">
        <v>25</v>
      </c>
      <c r="G20" s="6" t="s">
        <v>64</v>
      </c>
      <c r="H20" s="6" t="s">
        <v>637</v>
      </c>
      <c r="I20" s="6" t="s">
        <v>638</v>
      </c>
      <c r="J20" s="6">
        <v>42.0</v>
      </c>
      <c r="K20" s="6" t="s">
        <v>639</v>
      </c>
      <c r="L20" s="6" t="s">
        <v>30</v>
      </c>
    </row>
    <row r="21" ht="23.25" customHeight="1">
      <c r="A21" s="6">
        <v>20.0</v>
      </c>
      <c r="B21" s="6" t="s">
        <v>88</v>
      </c>
      <c r="C21" s="6" t="s">
        <v>640</v>
      </c>
      <c r="D21" s="6" t="s">
        <v>641</v>
      </c>
      <c r="E21" s="6" t="s">
        <v>642</v>
      </c>
      <c r="F21" s="6" t="s">
        <v>25</v>
      </c>
      <c r="G21" s="6" t="s">
        <v>643</v>
      </c>
      <c r="H21" s="6" t="s">
        <v>644</v>
      </c>
      <c r="I21" s="6" t="s">
        <v>213</v>
      </c>
      <c r="J21" s="6">
        <v>68.0</v>
      </c>
      <c r="K21" s="6" t="s">
        <v>645</v>
      </c>
      <c r="L21" s="6" t="s">
        <v>30</v>
      </c>
    </row>
    <row r="22" ht="23.25" customHeight="1">
      <c r="A22" s="6">
        <v>21.0</v>
      </c>
      <c r="B22" s="6" t="s">
        <v>88</v>
      </c>
      <c r="C22" s="6" t="s">
        <v>646</v>
      </c>
      <c r="D22" s="6" t="s">
        <v>647</v>
      </c>
      <c r="E22" s="6" t="s">
        <v>648</v>
      </c>
      <c r="F22" s="6" t="s">
        <v>25</v>
      </c>
      <c r="G22" s="6" t="s">
        <v>649</v>
      </c>
      <c r="H22" s="6" t="s">
        <v>650</v>
      </c>
      <c r="I22" s="6" t="s">
        <v>213</v>
      </c>
      <c r="J22" s="6">
        <v>427.0</v>
      </c>
      <c r="K22" s="6" t="s">
        <v>651</v>
      </c>
      <c r="L22" s="6" t="s">
        <v>586</v>
      </c>
    </row>
    <row r="23" ht="23.25" customHeight="1">
      <c r="A23" s="6">
        <v>22.0</v>
      </c>
      <c r="B23" s="6" t="s">
        <v>88</v>
      </c>
      <c r="C23" s="6" t="s">
        <v>652</v>
      </c>
      <c r="D23" s="6" t="s">
        <v>39</v>
      </c>
      <c r="E23" s="6" t="s">
        <v>653</v>
      </c>
      <c r="F23" s="6" t="s">
        <v>25</v>
      </c>
      <c r="G23" s="6" t="s">
        <v>654</v>
      </c>
      <c r="H23" s="6" t="s">
        <v>655</v>
      </c>
      <c r="I23" s="6" t="s">
        <v>213</v>
      </c>
      <c r="J23" s="6">
        <v>647.0</v>
      </c>
      <c r="K23" s="6" t="s">
        <v>656</v>
      </c>
      <c r="L23" s="6" t="s">
        <v>586</v>
      </c>
    </row>
    <row r="24" ht="23.25" customHeight="1">
      <c r="A24" s="6">
        <v>23.0</v>
      </c>
      <c r="B24" s="6" t="s">
        <v>88</v>
      </c>
      <c r="C24" s="6" t="s">
        <v>511</v>
      </c>
      <c r="D24" s="6" t="s">
        <v>512</v>
      </c>
      <c r="E24" s="6" t="s">
        <v>513</v>
      </c>
      <c r="F24" s="6" t="s">
        <v>25</v>
      </c>
      <c r="G24" s="6" t="s">
        <v>64</v>
      </c>
      <c r="H24" s="6" t="s">
        <v>514</v>
      </c>
      <c r="I24" s="6" t="s">
        <v>383</v>
      </c>
      <c r="J24" s="6">
        <v>32.0</v>
      </c>
      <c r="K24" s="6" t="s">
        <v>93</v>
      </c>
      <c r="L24" s="6" t="s">
        <v>30</v>
      </c>
    </row>
    <row r="25" ht="23.25" customHeight="1">
      <c r="A25" s="6">
        <v>24.0</v>
      </c>
      <c r="B25" s="6" t="s">
        <v>88</v>
      </c>
      <c r="C25" s="6" t="s">
        <v>657</v>
      </c>
      <c r="D25" s="6" t="s">
        <v>658</v>
      </c>
      <c r="E25" s="6" t="s">
        <v>659</v>
      </c>
      <c r="F25" s="6" t="s">
        <v>25</v>
      </c>
      <c r="G25" s="6" t="s">
        <v>64</v>
      </c>
      <c r="H25" s="6" t="s">
        <v>660</v>
      </c>
      <c r="I25" s="6" t="s">
        <v>383</v>
      </c>
      <c r="J25" s="6">
        <v>110.0</v>
      </c>
      <c r="K25" s="6" t="s">
        <v>661</v>
      </c>
      <c r="L25" s="6" t="s">
        <v>598</v>
      </c>
    </row>
    <row r="26" ht="23.25" customHeight="1">
      <c r="A26" s="6">
        <v>25.0</v>
      </c>
      <c r="B26" s="6" t="s">
        <v>88</v>
      </c>
      <c r="C26" s="6" t="s">
        <v>662</v>
      </c>
      <c r="D26" s="6" t="s">
        <v>663</v>
      </c>
      <c r="E26" s="6" t="s">
        <v>664</v>
      </c>
      <c r="F26" s="6" t="s">
        <v>25</v>
      </c>
      <c r="G26" s="6" t="s">
        <v>665</v>
      </c>
      <c r="H26" s="6" t="s">
        <v>666</v>
      </c>
      <c r="I26" s="6" t="s">
        <v>383</v>
      </c>
      <c r="J26" s="6">
        <v>442.0</v>
      </c>
      <c r="K26" s="6" t="s">
        <v>667</v>
      </c>
      <c r="L26" s="6" t="s">
        <v>586</v>
      </c>
    </row>
    <row r="27" ht="23.25" customHeight="1">
      <c r="A27" s="6">
        <v>26.0</v>
      </c>
      <c r="B27" s="6" t="s">
        <v>21</v>
      </c>
      <c r="C27" s="6" t="s">
        <v>668</v>
      </c>
      <c r="D27" s="6" t="s">
        <v>669</v>
      </c>
      <c r="E27" s="6" t="s">
        <v>670</v>
      </c>
      <c r="F27" s="6" t="s">
        <v>25</v>
      </c>
      <c r="G27" s="6" t="s">
        <v>64</v>
      </c>
      <c r="H27" s="6" t="s">
        <v>671</v>
      </c>
      <c r="I27" s="6" t="s">
        <v>141</v>
      </c>
      <c r="J27" s="6">
        <v>41.0</v>
      </c>
      <c r="K27" s="6" t="s">
        <v>672</v>
      </c>
      <c r="L27" s="6" t="s">
        <v>30</v>
      </c>
    </row>
    <row r="28" ht="23.25" customHeight="1">
      <c r="A28" s="6">
        <v>27.0</v>
      </c>
      <c r="B28" s="6" t="s">
        <v>21</v>
      </c>
      <c r="C28" s="6" t="s">
        <v>673</v>
      </c>
      <c r="D28" s="6" t="s">
        <v>674</v>
      </c>
      <c r="E28" s="6" t="s">
        <v>675</v>
      </c>
      <c r="F28" s="6" t="s">
        <v>25</v>
      </c>
      <c r="G28" s="6" t="s">
        <v>64</v>
      </c>
      <c r="H28" s="6" t="s">
        <v>676</v>
      </c>
      <c r="I28" s="6" t="s">
        <v>141</v>
      </c>
      <c r="J28" s="6">
        <v>38.0</v>
      </c>
      <c r="K28" s="6" t="s">
        <v>489</v>
      </c>
      <c r="L28" s="6" t="s">
        <v>30</v>
      </c>
    </row>
    <row r="29" ht="23.25" customHeight="1">
      <c r="A29" s="6">
        <v>28.0</v>
      </c>
      <c r="B29" s="6" t="s">
        <v>21</v>
      </c>
      <c r="C29" s="6" t="s">
        <v>138</v>
      </c>
      <c r="D29" s="6" t="s">
        <v>39</v>
      </c>
      <c r="E29" s="6" t="s">
        <v>139</v>
      </c>
      <c r="F29" s="6" t="s">
        <v>25</v>
      </c>
      <c r="G29" s="6" t="s">
        <v>64</v>
      </c>
      <c r="H29" s="6" t="s">
        <v>140</v>
      </c>
      <c r="I29" s="6" t="s">
        <v>141</v>
      </c>
      <c r="J29" s="6">
        <v>6.0</v>
      </c>
      <c r="K29" s="6" t="s">
        <v>142</v>
      </c>
      <c r="L29" s="6" t="s">
        <v>30</v>
      </c>
    </row>
    <row r="30" ht="23.25" customHeight="1">
      <c r="A30" s="6">
        <v>29.0</v>
      </c>
      <c r="B30" s="6" t="s">
        <v>21</v>
      </c>
      <c r="C30" s="6" t="s">
        <v>515</v>
      </c>
      <c r="D30" s="6" t="s">
        <v>516</v>
      </c>
      <c r="E30" s="6" t="s">
        <v>517</v>
      </c>
      <c r="F30" s="6" t="s">
        <v>25</v>
      </c>
      <c r="G30" s="6" t="s">
        <v>518</v>
      </c>
      <c r="H30" s="6" t="s">
        <v>519</v>
      </c>
      <c r="I30" s="6" t="s">
        <v>141</v>
      </c>
      <c r="J30" s="6">
        <v>33.0</v>
      </c>
      <c r="K30" s="6" t="s">
        <v>520</v>
      </c>
      <c r="L30" s="6" t="s">
        <v>30</v>
      </c>
    </row>
    <row r="31" ht="23.25" customHeight="1">
      <c r="A31" s="6">
        <v>30.0</v>
      </c>
      <c r="B31" s="6" t="s">
        <v>21</v>
      </c>
      <c r="C31" s="6" t="s">
        <v>677</v>
      </c>
      <c r="D31" s="6" t="s">
        <v>39</v>
      </c>
      <c r="E31" s="6" t="s">
        <v>678</v>
      </c>
      <c r="F31" s="6" t="s">
        <v>25</v>
      </c>
      <c r="G31" s="6" t="s">
        <v>679</v>
      </c>
      <c r="H31" s="6" t="s">
        <v>680</v>
      </c>
      <c r="I31" s="6" t="s">
        <v>549</v>
      </c>
      <c r="J31" s="6">
        <v>81.0</v>
      </c>
      <c r="K31" s="6" t="s">
        <v>681</v>
      </c>
      <c r="L31" s="6" t="s">
        <v>598</v>
      </c>
    </row>
    <row r="32" ht="23.25" customHeight="1">
      <c r="A32" s="6">
        <v>31.0</v>
      </c>
      <c r="B32" s="6" t="s">
        <v>21</v>
      </c>
      <c r="C32" s="6" t="s">
        <v>682</v>
      </c>
      <c r="D32" s="6" t="s">
        <v>39</v>
      </c>
      <c r="E32" s="6" t="s">
        <v>683</v>
      </c>
      <c r="F32" s="6" t="s">
        <v>25</v>
      </c>
      <c r="G32" s="6" t="s">
        <v>64</v>
      </c>
      <c r="H32" s="6" t="s">
        <v>684</v>
      </c>
      <c r="I32" s="6" t="s">
        <v>549</v>
      </c>
      <c r="J32" s="6">
        <v>114.0</v>
      </c>
      <c r="K32" s="6" t="s">
        <v>685</v>
      </c>
      <c r="L32" s="6" t="s">
        <v>598</v>
      </c>
    </row>
    <row r="33" ht="23.25" customHeight="1">
      <c r="A33" s="6">
        <v>32.0</v>
      </c>
      <c r="B33" s="6" t="s">
        <v>21</v>
      </c>
      <c r="C33" s="6" t="s">
        <v>686</v>
      </c>
      <c r="D33" s="6" t="s">
        <v>39</v>
      </c>
      <c r="E33" s="6" t="s">
        <v>687</v>
      </c>
      <c r="F33" s="6" t="s">
        <v>25</v>
      </c>
      <c r="G33" s="6" t="s">
        <v>688</v>
      </c>
      <c r="H33" s="6" t="s">
        <v>689</v>
      </c>
      <c r="I33" s="6" t="s">
        <v>361</v>
      </c>
      <c r="J33" s="6">
        <v>98.0</v>
      </c>
      <c r="K33" s="6" t="s">
        <v>690</v>
      </c>
      <c r="L33" s="6" t="s">
        <v>598</v>
      </c>
    </row>
    <row r="34" ht="23.25" customHeight="1">
      <c r="A34" s="6">
        <v>33.0</v>
      </c>
      <c r="B34" s="6" t="s">
        <v>21</v>
      </c>
      <c r="C34" s="6" t="s">
        <v>358</v>
      </c>
      <c r="D34" s="6" t="s">
        <v>39</v>
      </c>
      <c r="E34" s="6" t="s">
        <v>359</v>
      </c>
      <c r="F34" s="6" t="s">
        <v>25</v>
      </c>
      <c r="G34" s="6" t="s">
        <v>64</v>
      </c>
      <c r="H34" s="6" t="s">
        <v>360</v>
      </c>
      <c r="I34" s="6" t="s">
        <v>361</v>
      </c>
      <c r="J34" s="6">
        <v>20.0</v>
      </c>
      <c r="K34" s="6" t="s">
        <v>362</v>
      </c>
      <c r="L34" s="6" t="s">
        <v>30</v>
      </c>
    </row>
    <row r="35" ht="23.25" customHeight="1">
      <c r="A35" s="6">
        <v>34.0</v>
      </c>
      <c r="B35" s="6" t="s">
        <v>21</v>
      </c>
      <c r="C35" s="6" t="s">
        <v>180</v>
      </c>
      <c r="D35" s="6" t="s">
        <v>39</v>
      </c>
      <c r="E35" s="6" t="s">
        <v>181</v>
      </c>
      <c r="F35" s="6" t="s">
        <v>25</v>
      </c>
      <c r="G35" s="6" t="s">
        <v>64</v>
      </c>
      <c r="H35" s="6" t="s">
        <v>182</v>
      </c>
      <c r="I35" s="6" t="s">
        <v>59</v>
      </c>
      <c r="J35" s="6">
        <v>8.0</v>
      </c>
      <c r="K35" s="6" t="s">
        <v>183</v>
      </c>
      <c r="L35" s="6" t="s">
        <v>30</v>
      </c>
    </row>
    <row r="36" ht="23.25" customHeight="1">
      <c r="A36" s="6">
        <v>35.0</v>
      </c>
      <c r="B36" s="6" t="s">
        <v>21</v>
      </c>
      <c r="C36" s="6" t="s">
        <v>481</v>
      </c>
      <c r="D36" s="6" t="s">
        <v>482</v>
      </c>
      <c r="E36" s="6" t="s">
        <v>483</v>
      </c>
      <c r="F36" s="6" t="s">
        <v>25</v>
      </c>
      <c r="G36" s="6" t="s">
        <v>64</v>
      </c>
      <c r="H36" s="6" t="s">
        <v>484</v>
      </c>
      <c r="I36" s="6" t="s">
        <v>59</v>
      </c>
      <c r="J36" s="6">
        <v>29.0</v>
      </c>
      <c r="K36" s="6" t="s">
        <v>485</v>
      </c>
      <c r="L36" s="6" t="s">
        <v>30</v>
      </c>
    </row>
    <row r="37" ht="23.25" customHeight="1">
      <c r="A37" s="6">
        <v>36.0</v>
      </c>
      <c r="B37" s="6" t="s">
        <v>21</v>
      </c>
      <c r="C37" s="6" t="s">
        <v>55</v>
      </c>
      <c r="D37" s="6" t="s">
        <v>56</v>
      </c>
      <c r="E37" s="6" t="s">
        <v>57</v>
      </c>
      <c r="F37" s="6" t="s">
        <v>25</v>
      </c>
      <c r="G37" s="6" t="s">
        <v>58</v>
      </c>
      <c r="H37" s="6" t="s">
        <v>42</v>
      </c>
      <c r="I37" s="6" t="s">
        <v>59</v>
      </c>
      <c r="J37" s="6">
        <v>2.0</v>
      </c>
      <c r="K37" s="6" t="s">
        <v>60</v>
      </c>
      <c r="L37" s="6" t="s">
        <v>30</v>
      </c>
    </row>
    <row r="38" ht="23.25" customHeight="1">
      <c r="A38" s="6">
        <v>37.0</v>
      </c>
      <c r="B38" s="6" t="s">
        <v>21</v>
      </c>
      <c r="C38" s="6" t="s">
        <v>691</v>
      </c>
      <c r="D38" s="6" t="s">
        <v>692</v>
      </c>
      <c r="E38" s="6" t="s">
        <v>693</v>
      </c>
      <c r="F38" s="6" t="s">
        <v>25</v>
      </c>
      <c r="G38" s="6" t="s">
        <v>64</v>
      </c>
      <c r="H38" s="6" t="s">
        <v>694</v>
      </c>
      <c r="I38" s="6" t="s">
        <v>251</v>
      </c>
      <c r="J38" s="6">
        <v>46.0</v>
      </c>
      <c r="K38" s="6" t="s">
        <v>695</v>
      </c>
      <c r="L38" s="6" t="s">
        <v>30</v>
      </c>
    </row>
    <row r="39" ht="23.25" customHeight="1">
      <c r="A39" s="6">
        <v>38.0</v>
      </c>
      <c r="B39" s="6" t="s">
        <v>21</v>
      </c>
      <c r="C39" s="6" t="s">
        <v>696</v>
      </c>
      <c r="D39" s="6" t="s">
        <v>697</v>
      </c>
      <c r="E39" s="6" t="s">
        <v>698</v>
      </c>
      <c r="F39" s="6" t="s">
        <v>25</v>
      </c>
      <c r="G39" s="6" t="s">
        <v>64</v>
      </c>
      <c r="H39" s="6" t="s">
        <v>699</v>
      </c>
      <c r="I39" s="6" t="s">
        <v>251</v>
      </c>
      <c r="J39" s="6">
        <v>156.0</v>
      </c>
      <c r="K39" s="6" t="s">
        <v>700</v>
      </c>
      <c r="L39" s="6" t="s">
        <v>598</v>
      </c>
    </row>
    <row r="40" ht="23.25" customHeight="1">
      <c r="A40" s="6">
        <v>39.0</v>
      </c>
      <c r="B40" s="6" t="s">
        <v>21</v>
      </c>
      <c r="C40" s="6" t="s">
        <v>248</v>
      </c>
      <c r="D40" s="6" t="s">
        <v>39</v>
      </c>
      <c r="E40" s="6" t="s">
        <v>249</v>
      </c>
      <c r="F40" s="6" t="s">
        <v>25</v>
      </c>
      <c r="G40" s="6" t="s">
        <v>64</v>
      </c>
      <c r="H40" s="6" t="s">
        <v>250</v>
      </c>
      <c r="I40" s="6" t="s">
        <v>251</v>
      </c>
      <c r="J40" s="6">
        <v>12.0</v>
      </c>
      <c r="K40" s="6" t="s">
        <v>252</v>
      </c>
      <c r="L40" s="6" t="s">
        <v>30</v>
      </c>
    </row>
    <row r="41" ht="23.25" customHeight="1">
      <c r="A41" s="6">
        <v>40.0</v>
      </c>
      <c r="B41" s="6" t="s">
        <v>21</v>
      </c>
      <c r="C41" s="6" t="s">
        <v>415</v>
      </c>
      <c r="D41" s="6" t="s">
        <v>416</v>
      </c>
      <c r="E41" s="6" t="s">
        <v>417</v>
      </c>
      <c r="F41" s="6" t="s">
        <v>25</v>
      </c>
      <c r="G41" s="6" t="s">
        <v>64</v>
      </c>
      <c r="H41" s="6" t="s">
        <v>418</v>
      </c>
      <c r="I41" s="6" t="s">
        <v>419</v>
      </c>
      <c r="J41" s="6">
        <v>23.0</v>
      </c>
      <c r="K41" s="6" t="s">
        <v>420</v>
      </c>
      <c r="L41" s="6" t="s">
        <v>30</v>
      </c>
    </row>
    <row r="42" ht="23.25" customHeight="1">
      <c r="A42" s="6">
        <v>41.0</v>
      </c>
      <c r="B42" s="6" t="s">
        <v>21</v>
      </c>
      <c r="C42" s="6" t="s">
        <v>701</v>
      </c>
      <c r="D42" s="6" t="s">
        <v>39</v>
      </c>
      <c r="E42" s="6" t="s">
        <v>702</v>
      </c>
      <c r="F42" s="6" t="s">
        <v>25</v>
      </c>
      <c r="G42" s="6" t="s">
        <v>703</v>
      </c>
      <c r="H42" s="6" t="s">
        <v>704</v>
      </c>
      <c r="I42" s="6" t="s">
        <v>705</v>
      </c>
      <c r="J42" s="6">
        <v>42.0</v>
      </c>
      <c r="K42" s="6" t="s">
        <v>706</v>
      </c>
      <c r="L42" s="6" t="s">
        <v>30</v>
      </c>
    </row>
    <row r="43" ht="23.25" customHeight="1">
      <c r="A43" s="6">
        <v>42.0</v>
      </c>
      <c r="B43" s="6" t="s">
        <v>21</v>
      </c>
      <c r="C43" s="6" t="s">
        <v>374</v>
      </c>
      <c r="D43" s="6" t="s">
        <v>375</v>
      </c>
      <c r="E43" s="6" t="s">
        <v>376</v>
      </c>
      <c r="F43" s="6" t="s">
        <v>25</v>
      </c>
      <c r="G43" s="6" t="s">
        <v>64</v>
      </c>
      <c r="H43" s="6" t="s">
        <v>377</v>
      </c>
      <c r="I43" s="6" t="s">
        <v>378</v>
      </c>
      <c r="J43" s="6">
        <v>21.0</v>
      </c>
      <c r="K43" s="6" t="s">
        <v>379</v>
      </c>
      <c r="L43" s="6" t="s">
        <v>30</v>
      </c>
    </row>
    <row r="44" ht="23.25" customHeight="1">
      <c r="A44" s="6">
        <v>43.0</v>
      </c>
      <c r="B44" s="6" t="s">
        <v>21</v>
      </c>
      <c r="C44" s="6" t="s">
        <v>421</v>
      </c>
      <c r="D44" s="6" t="s">
        <v>39</v>
      </c>
      <c r="E44" s="6" t="s">
        <v>422</v>
      </c>
      <c r="F44" s="6" t="s">
        <v>25</v>
      </c>
      <c r="G44" s="6" t="s">
        <v>64</v>
      </c>
      <c r="H44" s="6" t="s">
        <v>423</v>
      </c>
      <c r="I44" s="6" t="s">
        <v>424</v>
      </c>
      <c r="J44" s="6">
        <v>23.0</v>
      </c>
      <c r="K44" s="6" t="s">
        <v>425</v>
      </c>
      <c r="L44" s="6" t="s">
        <v>30</v>
      </c>
    </row>
    <row r="45" ht="23.25" customHeight="1">
      <c r="A45" s="6">
        <v>44.0</v>
      </c>
      <c r="B45" s="6" t="s">
        <v>21</v>
      </c>
      <c r="C45" s="6" t="s">
        <v>707</v>
      </c>
      <c r="D45" s="6" t="s">
        <v>39</v>
      </c>
      <c r="E45" s="6" t="s">
        <v>708</v>
      </c>
      <c r="F45" s="6" t="s">
        <v>25</v>
      </c>
      <c r="G45" s="6" t="s">
        <v>64</v>
      </c>
      <c r="H45" s="6" t="s">
        <v>709</v>
      </c>
      <c r="I45" s="6" t="s">
        <v>383</v>
      </c>
      <c r="J45" s="6">
        <v>92.0</v>
      </c>
      <c r="K45" s="6" t="s">
        <v>710</v>
      </c>
      <c r="L45" s="6" t="s">
        <v>598</v>
      </c>
    </row>
    <row r="46" ht="23.25" customHeight="1">
      <c r="A46" s="6">
        <v>45.0</v>
      </c>
      <c r="B46" s="6" t="s">
        <v>21</v>
      </c>
      <c r="C46" s="6" t="s">
        <v>380</v>
      </c>
      <c r="D46" s="6" t="s">
        <v>199</v>
      </c>
      <c r="E46" s="6" t="s">
        <v>381</v>
      </c>
      <c r="F46" s="6" t="s">
        <v>25</v>
      </c>
      <c r="G46" s="6" t="s">
        <v>64</v>
      </c>
      <c r="H46" s="6" t="s">
        <v>382</v>
      </c>
      <c r="I46" s="6" t="s">
        <v>383</v>
      </c>
      <c r="J46" s="6">
        <v>21.0</v>
      </c>
      <c r="K46" s="6" t="s">
        <v>384</v>
      </c>
      <c r="L46" s="6" t="s">
        <v>30</v>
      </c>
    </row>
    <row r="47" ht="23.25" customHeight="1">
      <c r="A47" s="6">
        <v>46.0</v>
      </c>
      <c r="B47" s="6" t="s">
        <v>21</v>
      </c>
      <c r="C47" s="6" t="s">
        <v>711</v>
      </c>
      <c r="D47" s="6" t="s">
        <v>39</v>
      </c>
      <c r="E47" s="6" t="s">
        <v>712</v>
      </c>
      <c r="F47" s="6" t="s">
        <v>25</v>
      </c>
      <c r="G47" s="6" t="s">
        <v>64</v>
      </c>
      <c r="H47" s="6" t="s">
        <v>713</v>
      </c>
      <c r="I47" s="6" t="s">
        <v>383</v>
      </c>
      <c r="J47" s="6">
        <v>90.0</v>
      </c>
      <c r="K47" s="6" t="s">
        <v>714</v>
      </c>
      <c r="L47" s="6" t="s">
        <v>598</v>
      </c>
    </row>
    <row r="48" ht="23.25" customHeight="1">
      <c r="A48" s="6">
        <v>47.0</v>
      </c>
      <c r="B48" s="6" t="s">
        <v>21</v>
      </c>
      <c r="C48" s="6" t="s">
        <v>327</v>
      </c>
      <c r="D48" s="6" t="s">
        <v>328</v>
      </c>
      <c r="E48" s="6" t="s">
        <v>329</v>
      </c>
      <c r="F48" s="6" t="s">
        <v>25</v>
      </c>
      <c r="G48" s="6" t="s">
        <v>64</v>
      </c>
      <c r="H48" s="6" t="s">
        <v>330</v>
      </c>
      <c r="I48" s="6" t="s">
        <v>213</v>
      </c>
      <c r="J48" s="6">
        <v>18.0</v>
      </c>
      <c r="K48" s="6" t="s">
        <v>331</v>
      </c>
      <c r="L48" s="6" t="s">
        <v>30</v>
      </c>
    </row>
    <row r="49" ht="23.25" customHeight="1">
      <c r="A49" s="6">
        <v>48.0</v>
      </c>
      <c r="B49" s="6" t="s">
        <v>21</v>
      </c>
      <c r="C49" s="6" t="s">
        <v>290</v>
      </c>
      <c r="D49" s="6" t="s">
        <v>291</v>
      </c>
      <c r="E49" s="6" t="s">
        <v>292</v>
      </c>
      <c r="F49" s="6" t="s">
        <v>25</v>
      </c>
      <c r="G49" s="6" t="s">
        <v>64</v>
      </c>
      <c r="H49" s="6" t="s">
        <v>293</v>
      </c>
      <c r="I49" s="6" t="s">
        <v>294</v>
      </c>
      <c r="J49" s="6">
        <v>15.0</v>
      </c>
      <c r="K49" s="6" t="s">
        <v>295</v>
      </c>
      <c r="L49" s="6" t="s">
        <v>30</v>
      </c>
    </row>
    <row r="50" ht="23.25" customHeight="1">
      <c r="A50" s="6">
        <v>49.0</v>
      </c>
      <c r="B50" s="6" t="s">
        <v>21</v>
      </c>
      <c r="C50" s="6" t="s">
        <v>210</v>
      </c>
      <c r="D50" s="6" t="s">
        <v>39</v>
      </c>
      <c r="E50" s="6" t="s">
        <v>211</v>
      </c>
      <c r="F50" s="6" t="s">
        <v>25</v>
      </c>
      <c r="G50" s="6" t="s">
        <v>64</v>
      </c>
      <c r="H50" s="6" t="s">
        <v>212</v>
      </c>
      <c r="I50" s="6" t="s">
        <v>213</v>
      </c>
      <c r="J50" s="6">
        <v>9.0</v>
      </c>
      <c r="K50" s="6" t="s">
        <v>214</v>
      </c>
      <c r="L50" s="6" t="s">
        <v>30</v>
      </c>
    </row>
    <row r="51" ht="23.25" customHeight="1">
      <c r="A51" s="6">
        <v>50.0</v>
      </c>
      <c r="B51" s="6" t="s">
        <v>88</v>
      </c>
      <c r="C51" s="6" t="s">
        <v>715</v>
      </c>
      <c r="D51" s="6" t="s">
        <v>716</v>
      </c>
      <c r="E51" s="6" t="s">
        <v>717</v>
      </c>
      <c r="F51" s="6" t="s">
        <v>25</v>
      </c>
      <c r="G51" s="6" t="s">
        <v>64</v>
      </c>
      <c r="H51" s="6" t="s">
        <v>718</v>
      </c>
      <c r="I51" s="6" t="s">
        <v>66</v>
      </c>
      <c r="J51" s="6">
        <v>93.0</v>
      </c>
      <c r="K51" s="6" t="s">
        <v>719</v>
      </c>
      <c r="L51" s="6" t="s">
        <v>530</v>
      </c>
    </row>
    <row r="52" ht="23.25" customHeight="1">
      <c r="A52" s="6">
        <v>51.0</v>
      </c>
      <c r="B52" s="6" t="s">
        <v>88</v>
      </c>
      <c r="C52" s="6" t="s">
        <v>720</v>
      </c>
      <c r="D52" s="6" t="s">
        <v>721</v>
      </c>
      <c r="E52" s="6" t="s">
        <v>722</v>
      </c>
      <c r="F52" s="6" t="s">
        <v>25</v>
      </c>
      <c r="G52" s="6" t="s">
        <v>723</v>
      </c>
      <c r="H52" s="6" t="s">
        <v>724</v>
      </c>
      <c r="I52" s="6" t="s">
        <v>81</v>
      </c>
      <c r="J52" s="6">
        <v>59.0</v>
      </c>
      <c r="K52" s="6" t="s">
        <v>725</v>
      </c>
      <c r="L52" s="6" t="s">
        <v>30</v>
      </c>
    </row>
    <row r="53" ht="23.25" customHeight="1">
      <c r="A53" s="6">
        <v>52.0</v>
      </c>
      <c r="B53" s="6" t="s">
        <v>88</v>
      </c>
      <c r="C53" s="6" t="s">
        <v>450</v>
      </c>
      <c r="D53" s="6" t="s">
        <v>39</v>
      </c>
      <c r="E53" s="6" t="s">
        <v>451</v>
      </c>
      <c r="F53" s="6" t="s">
        <v>25</v>
      </c>
      <c r="G53" s="6" t="s">
        <v>452</v>
      </c>
      <c r="H53" s="6" t="s">
        <v>453</v>
      </c>
      <c r="I53" s="6" t="s">
        <v>454</v>
      </c>
      <c r="J53" s="6">
        <v>26.0</v>
      </c>
      <c r="K53" s="6" t="s">
        <v>455</v>
      </c>
      <c r="L53" s="6" t="s">
        <v>30</v>
      </c>
    </row>
    <row r="54" ht="23.25" customHeight="1">
      <c r="A54" s="6">
        <v>53.0</v>
      </c>
      <c r="B54" s="6" t="s">
        <v>88</v>
      </c>
      <c r="C54" s="6" t="s">
        <v>726</v>
      </c>
      <c r="D54" s="6" t="s">
        <v>39</v>
      </c>
      <c r="E54" s="6" t="s">
        <v>727</v>
      </c>
      <c r="F54" s="6" t="s">
        <v>25</v>
      </c>
      <c r="G54" s="6" t="s">
        <v>64</v>
      </c>
      <c r="H54" s="6" t="s">
        <v>728</v>
      </c>
      <c r="I54" s="6" t="s">
        <v>454</v>
      </c>
      <c r="J54" s="6">
        <v>56.0</v>
      </c>
      <c r="K54" s="6" t="s">
        <v>729</v>
      </c>
      <c r="L54" s="6" t="s">
        <v>30</v>
      </c>
    </row>
    <row r="55" ht="23.25" customHeight="1">
      <c r="A55" s="6">
        <v>54.0</v>
      </c>
      <c r="B55" s="6" t="s">
        <v>88</v>
      </c>
      <c r="C55" s="6" t="s">
        <v>406</v>
      </c>
      <c r="D55" s="6" t="s">
        <v>407</v>
      </c>
      <c r="E55" s="6" t="s">
        <v>408</v>
      </c>
      <c r="F55" s="6" t="s">
        <v>25</v>
      </c>
      <c r="G55" s="6" t="s">
        <v>64</v>
      </c>
      <c r="H55" s="6" t="s">
        <v>409</v>
      </c>
      <c r="I55" s="6" t="s">
        <v>304</v>
      </c>
      <c r="J55" s="6">
        <v>22.0</v>
      </c>
      <c r="K55" s="6" t="s">
        <v>341</v>
      </c>
      <c r="L55" s="6" t="s">
        <v>30</v>
      </c>
    </row>
    <row r="56" ht="23.25" customHeight="1">
      <c r="A56" s="6">
        <v>55.0</v>
      </c>
      <c r="B56" s="6" t="s">
        <v>88</v>
      </c>
      <c r="C56" s="6" t="s">
        <v>730</v>
      </c>
      <c r="D56" s="6" t="s">
        <v>731</v>
      </c>
      <c r="E56" s="6" t="s">
        <v>732</v>
      </c>
      <c r="F56" s="6" t="s">
        <v>25</v>
      </c>
      <c r="G56" s="6" t="s">
        <v>64</v>
      </c>
      <c r="H56" s="6" t="s">
        <v>733</v>
      </c>
      <c r="I56" s="6" t="s">
        <v>304</v>
      </c>
      <c r="J56" s="6">
        <v>72.0</v>
      </c>
      <c r="K56" s="6" t="s">
        <v>734</v>
      </c>
      <c r="L56" s="6" t="s">
        <v>30</v>
      </c>
    </row>
    <row r="57" ht="23.25" customHeight="1">
      <c r="A57" s="6">
        <v>56.0</v>
      </c>
      <c r="B57" s="6" t="s">
        <v>88</v>
      </c>
      <c r="C57" s="6" t="s">
        <v>735</v>
      </c>
      <c r="D57" s="6" t="s">
        <v>39</v>
      </c>
      <c r="E57" s="6" t="s">
        <v>736</v>
      </c>
      <c r="F57" s="6" t="s">
        <v>25</v>
      </c>
      <c r="G57" s="6" t="s">
        <v>64</v>
      </c>
      <c r="H57" s="6" t="s">
        <v>737</v>
      </c>
      <c r="I57" s="6" t="s">
        <v>304</v>
      </c>
      <c r="J57" s="6">
        <v>84.0</v>
      </c>
      <c r="K57" s="6" t="s">
        <v>738</v>
      </c>
      <c r="L57" s="6" t="s">
        <v>530</v>
      </c>
    </row>
    <row r="58" ht="23.25" customHeight="1">
      <c r="A58" s="6">
        <v>57.0</v>
      </c>
      <c r="B58" s="6" t="s">
        <v>88</v>
      </c>
      <c r="C58" s="6" t="s">
        <v>739</v>
      </c>
      <c r="D58" s="6" t="s">
        <v>740</v>
      </c>
      <c r="E58" s="6" t="s">
        <v>741</v>
      </c>
      <c r="F58" s="6" t="s">
        <v>25</v>
      </c>
      <c r="G58" s="6" t="s">
        <v>64</v>
      </c>
      <c r="H58" s="6" t="s">
        <v>742</v>
      </c>
      <c r="I58" s="6" t="s">
        <v>304</v>
      </c>
      <c r="J58" s="6">
        <v>156.0</v>
      </c>
      <c r="K58" s="6" t="s">
        <v>743</v>
      </c>
      <c r="L58" s="6" t="s">
        <v>598</v>
      </c>
    </row>
    <row r="59" ht="23.25" customHeight="1">
      <c r="A59" s="6">
        <v>58.0</v>
      </c>
      <c r="B59" s="6" t="s">
        <v>88</v>
      </c>
      <c r="C59" s="6" t="s">
        <v>461</v>
      </c>
      <c r="D59" s="6" t="s">
        <v>462</v>
      </c>
      <c r="E59" s="6" t="s">
        <v>463</v>
      </c>
      <c r="F59" s="6" t="s">
        <v>25</v>
      </c>
      <c r="G59" s="6" t="s">
        <v>64</v>
      </c>
      <c r="H59" s="6" t="s">
        <v>464</v>
      </c>
      <c r="I59" s="6" t="s">
        <v>465</v>
      </c>
      <c r="J59" s="6">
        <v>27.0</v>
      </c>
      <c r="K59" s="6" t="s">
        <v>466</v>
      </c>
      <c r="L59" s="6" t="s">
        <v>30</v>
      </c>
    </row>
    <row r="60" ht="23.25" customHeight="1">
      <c r="A60" s="6">
        <v>59.0</v>
      </c>
      <c r="B60" s="6" t="s">
        <v>88</v>
      </c>
      <c r="C60" s="6" t="s">
        <v>744</v>
      </c>
      <c r="D60" s="6" t="s">
        <v>39</v>
      </c>
      <c r="E60" s="6" t="s">
        <v>745</v>
      </c>
      <c r="F60" s="6" t="s">
        <v>25</v>
      </c>
      <c r="G60" s="6" t="s">
        <v>64</v>
      </c>
      <c r="H60" s="6" t="s">
        <v>746</v>
      </c>
      <c r="I60" s="6" t="s">
        <v>465</v>
      </c>
      <c r="J60" s="6">
        <v>45.0</v>
      </c>
      <c r="K60" s="6" t="s">
        <v>747</v>
      </c>
      <c r="L60" s="6" t="s">
        <v>30</v>
      </c>
    </row>
    <row r="61" ht="23.25" customHeight="1">
      <c r="A61" s="6">
        <v>60.0</v>
      </c>
      <c r="B61" s="6" t="s">
        <v>88</v>
      </c>
      <c r="C61" s="6" t="s">
        <v>497</v>
      </c>
      <c r="D61" s="6" t="s">
        <v>39</v>
      </c>
      <c r="E61" s="6" t="s">
        <v>498</v>
      </c>
      <c r="F61" s="6" t="s">
        <v>25</v>
      </c>
      <c r="G61" s="6" t="s">
        <v>64</v>
      </c>
      <c r="H61" s="6" t="s">
        <v>499</v>
      </c>
      <c r="I61" s="6" t="s">
        <v>465</v>
      </c>
      <c r="J61" s="6">
        <v>30.0</v>
      </c>
      <c r="K61" s="6" t="s">
        <v>500</v>
      </c>
      <c r="L61" s="6" t="s">
        <v>30</v>
      </c>
    </row>
    <row r="62" ht="23.25" customHeight="1">
      <c r="A62" s="6">
        <v>61.0</v>
      </c>
      <c r="B62" s="6" t="s">
        <v>88</v>
      </c>
      <c r="C62" s="6" t="s">
        <v>748</v>
      </c>
      <c r="D62" s="6" t="s">
        <v>749</v>
      </c>
      <c r="E62" s="6" t="s">
        <v>750</v>
      </c>
      <c r="F62" s="6" t="s">
        <v>25</v>
      </c>
      <c r="G62" s="6" t="s">
        <v>751</v>
      </c>
      <c r="H62" s="6" t="s">
        <v>752</v>
      </c>
      <c r="I62" s="6" t="s">
        <v>28</v>
      </c>
      <c r="J62" s="6">
        <v>132.0</v>
      </c>
      <c r="K62" s="6" t="s">
        <v>753</v>
      </c>
      <c r="L62" s="6" t="s">
        <v>598</v>
      </c>
    </row>
    <row r="63" ht="23.25" customHeight="1">
      <c r="A63" s="6">
        <v>62.0</v>
      </c>
      <c r="B63" s="6" t="s">
        <v>88</v>
      </c>
      <c r="C63" s="6" t="s">
        <v>754</v>
      </c>
      <c r="D63" s="6" t="s">
        <v>755</v>
      </c>
      <c r="E63" s="6" t="s">
        <v>756</v>
      </c>
      <c r="F63" s="6" t="s">
        <v>25</v>
      </c>
      <c r="G63" s="6" t="s">
        <v>757</v>
      </c>
      <c r="H63" s="6" t="s">
        <v>758</v>
      </c>
      <c r="I63" s="6" t="s">
        <v>28</v>
      </c>
      <c r="J63" s="6">
        <v>90.0</v>
      </c>
      <c r="K63" s="6" t="s">
        <v>759</v>
      </c>
      <c r="L63" s="6" t="s">
        <v>598</v>
      </c>
    </row>
    <row r="64" ht="23.25" customHeight="1">
      <c r="A64" s="6">
        <v>63.0</v>
      </c>
      <c r="B64" s="6" t="s">
        <v>88</v>
      </c>
      <c r="C64" s="6" t="s">
        <v>760</v>
      </c>
      <c r="D64" s="6" t="s">
        <v>761</v>
      </c>
      <c r="E64" s="6" t="s">
        <v>762</v>
      </c>
      <c r="F64" s="6" t="s">
        <v>25</v>
      </c>
      <c r="G64" s="6" t="s">
        <v>64</v>
      </c>
      <c r="H64" s="6" t="s">
        <v>763</v>
      </c>
      <c r="I64" s="6" t="s">
        <v>28</v>
      </c>
      <c r="J64" s="6">
        <v>140.0</v>
      </c>
      <c r="K64" s="6" t="s">
        <v>357</v>
      </c>
      <c r="L64" s="6" t="s">
        <v>598</v>
      </c>
    </row>
    <row r="65" ht="23.25" customHeight="1">
      <c r="A65" s="6">
        <v>64.0</v>
      </c>
      <c r="B65" s="6" t="s">
        <v>88</v>
      </c>
      <c r="C65" s="6" t="s">
        <v>501</v>
      </c>
      <c r="D65" s="6" t="s">
        <v>502</v>
      </c>
      <c r="E65" s="6" t="s">
        <v>503</v>
      </c>
      <c r="F65" s="6" t="s">
        <v>25</v>
      </c>
      <c r="G65" s="6" t="s">
        <v>64</v>
      </c>
      <c r="H65" s="6" t="s">
        <v>504</v>
      </c>
      <c r="I65" s="6" t="s">
        <v>86</v>
      </c>
      <c r="J65" s="6">
        <v>30.0</v>
      </c>
      <c r="K65" s="6" t="s">
        <v>505</v>
      </c>
      <c r="L65" s="6" t="s">
        <v>30</v>
      </c>
    </row>
    <row r="66" ht="23.25" customHeight="1">
      <c r="A66" s="6">
        <v>65.0</v>
      </c>
      <c r="B66" s="6" t="s">
        <v>88</v>
      </c>
      <c r="C66" s="6" t="s">
        <v>764</v>
      </c>
      <c r="D66" s="6" t="s">
        <v>765</v>
      </c>
      <c r="E66" s="6" t="s">
        <v>766</v>
      </c>
      <c r="F66" s="6" t="s">
        <v>25</v>
      </c>
      <c r="G66" s="6" t="s">
        <v>64</v>
      </c>
      <c r="H66" s="6" t="s">
        <v>767</v>
      </c>
      <c r="I66" s="6" t="s">
        <v>86</v>
      </c>
      <c r="J66" s="6">
        <v>42.0</v>
      </c>
      <c r="K66" s="6" t="s">
        <v>768</v>
      </c>
      <c r="L66" s="6" t="s">
        <v>30</v>
      </c>
    </row>
    <row r="67" ht="23.25" customHeight="1">
      <c r="A67" s="6">
        <v>66.0</v>
      </c>
      <c r="B67" s="6" t="s">
        <v>88</v>
      </c>
      <c r="C67" s="6" t="s">
        <v>769</v>
      </c>
      <c r="D67" s="6" t="s">
        <v>770</v>
      </c>
      <c r="E67" s="6" t="s">
        <v>771</v>
      </c>
      <c r="F67" s="6" t="s">
        <v>25</v>
      </c>
      <c r="G67" s="6" t="s">
        <v>64</v>
      </c>
      <c r="H67" s="6" t="s">
        <v>772</v>
      </c>
      <c r="I67" s="6" t="s">
        <v>86</v>
      </c>
      <c r="J67" s="6">
        <v>95.0</v>
      </c>
      <c r="K67" s="6" t="s">
        <v>773</v>
      </c>
      <c r="L67" s="6" t="s">
        <v>598</v>
      </c>
    </row>
    <row r="68" ht="23.25" customHeight="1">
      <c r="A68" s="6">
        <v>67.0</v>
      </c>
      <c r="B68" s="6" t="s">
        <v>88</v>
      </c>
      <c r="C68" s="6" t="s">
        <v>774</v>
      </c>
      <c r="D68" s="6" t="s">
        <v>775</v>
      </c>
      <c r="E68" s="6" t="s">
        <v>776</v>
      </c>
      <c r="F68" s="6" t="s">
        <v>25</v>
      </c>
      <c r="G68" s="6" t="s">
        <v>777</v>
      </c>
      <c r="H68" s="6" t="s">
        <v>778</v>
      </c>
      <c r="I68" s="6" t="s">
        <v>779</v>
      </c>
      <c r="J68" s="6">
        <v>54.0</v>
      </c>
      <c r="K68" s="6" t="s">
        <v>780</v>
      </c>
      <c r="L68" s="6" t="s">
        <v>30</v>
      </c>
    </row>
    <row r="69" ht="23.25" customHeight="1">
      <c r="A69" s="6">
        <v>68.0</v>
      </c>
      <c r="B69" s="6" t="s">
        <v>88</v>
      </c>
      <c r="C69" s="6" t="s">
        <v>781</v>
      </c>
      <c r="D69" s="6" t="s">
        <v>782</v>
      </c>
      <c r="E69" s="6" t="s">
        <v>783</v>
      </c>
      <c r="F69" s="6" t="s">
        <v>25</v>
      </c>
      <c r="G69" s="6" t="s">
        <v>64</v>
      </c>
      <c r="H69" s="6" t="s">
        <v>784</v>
      </c>
      <c r="I69" s="6" t="s">
        <v>36</v>
      </c>
      <c r="J69" s="6">
        <v>166.0</v>
      </c>
      <c r="K69" s="6" t="s">
        <v>357</v>
      </c>
      <c r="L69" s="6" t="s">
        <v>598</v>
      </c>
    </row>
    <row r="70" ht="23.25" customHeight="1">
      <c r="A70" s="6">
        <v>69.0</v>
      </c>
      <c r="B70" s="6" t="s">
        <v>88</v>
      </c>
      <c r="C70" s="6" t="s">
        <v>785</v>
      </c>
      <c r="D70" s="6" t="s">
        <v>39</v>
      </c>
      <c r="E70" s="6" t="s">
        <v>786</v>
      </c>
      <c r="F70" s="6" t="s">
        <v>25</v>
      </c>
      <c r="G70" s="6" t="s">
        <v>64</v>
      </c>
      <c r="H70" s="6" t="s">
        <v>787</v>
      </c>
      <c r="I70" s="6" t="s">
        <v>36</v>
      </c>
      <c r="J70" s="6">
        <v>94.0</v>
      </c>
      <c r="K70" s="6" t="s">
        <v>738</v>
      </c>
      <c r="L70" s="6" t="s">
        <v>598</v>
      </c>
    </row>
    <row r="71" ht="23.25" customHeight="1">
      <c r="A71" s="6">
        <v>70.0</v>
      </c>
      <c r="B71" s="6" t="s">
        <v>88</v>
      </c>
      <c r="C71" s="6" t="s">
        <v>788</v>
      </c>
      <c r="D71" s="6" t="s">
        <v>789</v>
      </c>
      <c r="E71" s="6" t="s">
        <v>790</v>
      </c>
      <c r="F71" s="6" t="s">
        <v>25</v>
      </c>
      <c r="G71" s="6" t="s">
        <v>64</v>
      </c>
      <c r="H71" s="6" t="s">
        <v>791</v>
      </c>
      <c r="I71" s="6" t="s">
        <v>111</v>
      </c>
      <c r="J71" s="6">
        <v>137.0</v>
      </c>
      <c r="K71" s="6" t="s">
        <v>792</v>
      </c>
      <c r="L71" s="6" t="s">
        <v>598</v>
      </c>
    </row>
    <row r="72" ht="23.25" customHeight="1">
      <c r="A72" s="6">
        <v>71.0</v>
      </c>
      <c r="B72" s="6" t="s">
        <v>88</v>
      </c>
      <c r="C72" s="6" t="s">
        <v>442</v>
      </c>
      <c r="D72" s="6" t="s">
        <v>443</v>
      </c>
      <c r="E72" s="6" t="s">
        <v>444</v>
      </c>
      <c r="F72" s="6" t="s">
        <v>25</v>
      </c>
      <c r="G72" s="6" t="s">
        <v>64</v>
      </c>
      <c r="H72" s="6" t="s">
        <v>445</v>
      </c>
      <c r="I72" s="6" t="s">
        <v>111</v>
      </c>
      <c r="J72" s="6">
        <v>25.0</v>
      </c>
      <c r="K72" s="6" t="s">
        <v>446</v>
      </c>
      <c r="L72" s="6" t="s">
        <v>30</v>
      </c>
    </row>
    <row r="73" ht="23.25" customHeight="1">
      <c r="A73" s="6">
        <v>72.0</v>
      </c>
      <c r="B73" s="6" t="s">
        <v>88</v>
      </c>
      <c r="C73" s="6" t="s">
        <v>793</v>
      </c>
      <c r="D73" s="6" t="s">
        <v>794</v>
      </c>
      <c r="E73" s="6" t="s">
        <v>795</v>
      </c>
      <c r="F73" s="6" t="s">
        <v>25</v>
      </c>
      <c r="G73" s="6" t="s">
        <v>64</v>
      </c>
      <c r="H73" s="6" t="s">
        <v>796</v>
      </c>
      <c r="I73" s="6" t="s">
        <v>279</v>
      </c>
      <c r="J73" s="6">
        <v>144.0</v>
      </c>
      <c r="K73" s="6" t="s">
        <v>797</v>
      </c>
      <c r="L73" s="6" t="s">
        <v>598</v>
      </c>
    </row>
    <row r="74" ht="23.25" customHeight="1">
      <c r="A74" s="6">
        <v>73.0</v>
      </c>
      <c r="B74" s="6" t="s">
        <v>88</v>
      </c>
      <c r="C74" s="6" t="s">
        <v>798</v>
      </c>
      <c r="D74" s="6" t="s">
        <v>799</v>
      </c>
      <c r="E74" s="6" t="s">
        <v>800</v>
      </c>
      <c r="F74" s="6" t="s">
        <v>25</v>
      </c>
      <c r="G74" s="6" t="s">
        <v>64</v>
      </c>
      <c r="H74" s="6" t="s">
        <v>801</v>
      </c>
      <c r="I74" s="6" t="s">
        <v>279</v>
      </c>
      <c r="J74" s="6">
        <v>68.0</v>
      </c>
      <c r="K74" s="6" t="s">
        <v>802</v>
      </c>
      <c r="L74" s="6" t="s">
        <v>30</v>
      </c>
    </row>
    <row r="75" ht="23.25" customHeight="1">
      <c r="A75" s="6">
        <v>74.0</v>
      </c>
      <c r="B75" s="6" t="s">
        <v>88</v>
      </c>
      <c r="C75" s="6" t="s">
        <v>803</v>
      </c>
      <c r="D75" s="6" t="s">
        <v>804</v>
      </c>
      <c r="E75" s="6" t="s">
        <v>805</v>
      </c>
      <c r="F75" s="6" t="s">
        <v>25</v>
      </c>
      <c r="G75" s="6" t="s">
        <v>64</v>
      </c>
      <c r="H75" s="6" t="s">
        <v>806</v>
      </c>
      <c r="I75" s="6" t="s">
        <v>279</v>
      </c>
      <c r="J75" s="6">
        <v>139.0</v>
      </c>
      <c r="K75" s="6" t="s">
        <v>807</v>
      </c>
      <c r="L75" s="6" t="s">
        <v>598</v>
      </c>
    </row>
    <row r="76" ht="23.25" customHeight="1">
      <c r="A76" s="6">
        <v>75.0</v>
      </c>
      <c r="B76" s="6" t="s">
        <v>21</v>
      </c>
      <c r="C76" s="6" t="s">
        <v>447</v>
      </c>
      <c r="D76" s="6" t="s">
        <v>39</v>
      </c>
      <c r="E76" s="6" t="s">
        <v>448</v>
      </c>
      <c r="F76" s="6" t="s">
        <v>25</v>
      </c>
      <c r="G76" s="6" t="s">
        <v>64</v>
      </c>
      <c r="H76" s="6" t="s">
        <v>449</v>
      </c>
      <c r="I76" s="6" t="s">
        <v>66</v>
      </c>
      <c r="J76" s="6">
        <v>25.0</v>
      </c>
      <c r="K76" s="6" t="s">
        <v>230</v>
      </c>
      <c r="L76" s="6" t="s">
        <v>30</v>
      </c>
    </row>
    <row r="77" ht="23.25" customHeight="1">
      <c r="A77" s="6">
        <v>76.0</v>
      </c>
      <c r="B77" s="6" t="s">
        <v>21</v>
      </c>
      <c r="C77" s="6" t="s">
        <v>61</v>
      </c>
      <c r="D77" s="6" t="s">
        <v>62</v>
      </c>
      <c r="E77" s="6" t="s">
        <v>63</v>
      </c>
      <c r="F77" s="6" t="s">
        <v>25</v>
      </c>
      <c r="G77" s="6" t="s">
        <v>64</v>
      </c>
      <c r="H77" s="6" t="s">
        <v>65</v>
      </c>
      <c r="I77" s="6" t="s">
        <v>66</v>
      </c>
      <c r="J77" s="6">
        <v>2.0</v>
      </c>
      <c r="K77" s="6" t="s">
        <v>67</v>
      </c>
      <c r="L77" s="6" t="s">
        <v>30</v>
      </c>
    </row>
    <row r="78" ht="23.25" customHeight="1">
      <c r="A78" s="6">
        <v>77.0</v>
      </c>
      <c r="B78" s="6" t="s">
        <v>21</v>
      </c>
      <c r="C78" s="6" t="s">
        <v>152</v>
      </c>
      <c r="D78" s="6" t="s">
        <v>153</v>
      </c>
      <c r="E78" s="6" t="s">
        <v>154</v>
      </c>
      <c r="F78" s="6" t="s">
        <v>25</v>
      </c>
      <c r="G78" s="6" t="s">
        <v>64</v>
      </c>
      <c r="H78" s="6" t="s">
        <v>155</v>
      </c>
      <c r="I78" s="6" t="s">
        <v>81</v>
      </c>
      <c r="J78" s="6">
        <v>7.0</v>
      </c>
      <c r="K78" s="6" t="s">
        <v>156</v>
      </c>
      <c r="L78" s="6" t="s">
        <v>30</v>
      </c>
    </row>
    <row r="79" ht="23.25" customHeight="1">
      <c r="A79" s="6">
        <v>78.0</v>
      </c>
      <c r="B79" s="6" t="s">
        <v>21</v>
      </c>
      <c r="C79" s="6" t="s">
        <v>184</v>
      </c>
      <c r="D79" s="6" t="s">
        <v>39</v>
      </c>
      <c r="E79" s="6" t="s">
        <v>185</v>
      </c>
      <c r="F79" s="6" t="s">
        <v>25</v>
      </c>
      <c r="G79" s="6" t="s">
        <v>64</v>
      </c>
      <c r="H79" s="6" t="s">
        <v>186</v>
      </c>
      <c r="I79" s="6" t="s">
        <v>81</v>
      </c>
      <c r="J79" s="6">
        <v>8.0</v>
      </c>
      <c r="K79" s="6" t="s">
        <v>187</v>
      </c>
      <c r="L79" s="6" t="s">
        <v>30</v>
      </c>
    </row>
    <row r="80" ht="23.25" customHeight="1">
      <c r="A80" s="6">
        <v>79.0</v>
      </c>
      <c r="B80" s="6" t="s">
        <v>21</v>
      </c>
      <c r="C80" s="6" t="s">
        <v>77</v>
      </c>
      <c r="D80" s="6" t="s">
        <v>78</v>
      </c>
      <c r="E80" s="6" t="s">
        <v>79</v>
      </c>
      <c r="F80" s="6" t="s">
        <v>25</v>
      </c>
      <c r="G80" s="6" t="s">
        <v>64</v>
      </c>
      <c r="H80" s="6" t="s">
        <v>80</v>
      </c>
      <c r="I80" s="6" t="s">
        <v>81</v>
      </c>
      <c r="J80" s="6">
        <v>3.0</v>
      </c>
      <c r="K80" s="6" t="s">
        <v>82</v>
      </c>
      <c r="L80" s="6" t="s">
        <v>30</v>
      </c>
    </row>
    <row r="81" ht="23.25" customHeight="1">
      <c r="A81" s="6">
        <v>80.0</v>
      </c>
      <c r="B81" s="6" t="s">
        <v>21</v>
      </c>
      <c r="C81" s="6" t="s">
        <v>808</v>
      </c>
      <c r="D81" s="6" t="s">
        <v>809</v>
      </c>
      <c r="E81" s="6" t="s">
        <v>810</v>
      </c>
      <c r="F81" s="6" t="s">
        <v>25</v>
      </c>
      <c r="G81" s="6" t="s">
        <v>64</v>
      </c>
      <c r="H81" s="6" t="s">
        <v>811</v>
      </c>
      <c r="I81" s="6" t="s">
        <v>454</v>
      </c>
      <c r="J81" s="6">
        <v>55.0</v>
      </c>
      <c r="K81" s="6" t="s">
        <v>812</v>
      </c>
      <c r="L81" s="6" t="s">
        <v>30</v>
      </c>
    </row>
    <row r="82" ht="23.25" customHeight="1">
      <c r="A82" s="6">
        <v>81.0</v>
      </c>
      <c r="B82" s="6" t="s">
        <v>21</v>
      </c>
      <c r="C82" s="6" t="s">
        <v>813</v>
      </c>
      <c r="D82" s="6" t="s">
        <v>814</v>
      </c>
      <c r="E82" s="6" t="s">
        <v>815</v>
      </c>
      <c r="F82" s="6" t="s">
        <v>25</v>
      </c>
      <c r="G82" s="6" t="s">
        <v>816</v>
      </c>
      <c r="H82" s="6" t="s">
        <v>817</v>
      </c>
      <c r="I82" s="6" t="s">
        <v>454</v>
      </c>
      <c r="J82" s="6">
        <v>38.0</v>
      </c>
      <c r="K82" s="6" t="s">
        <v>818</v>
      </c>
      <c r="L82" s="6" t="s">
        <v>598</v>
      </c>
    </row>
    <row r="83" ht="23.25" customHeight="1">
      <c r="A83" s="6">
        <v>82.0</v>
      </c>
      <c r="B83" s="6" t="s">
        <v>21</v>
      </c>
      <c r="C83" s="6" t="s">
        <v>486</v>
      </c>
      <c r="D83" s="6" t="s">
        <v>39</v>
      </c>
      <c r="E83" s="6" t="s">
        <v>487</v>
      </c>
      <c r="F83" s="6" t="s">
        <v>25</v>
      </c>
      <c r="G83" s="6" t="s">
        <v>64</v>
      </c>
      <c r="H83" s="6" t="s">
        <v>488</v>
      </c>
      <c r="I83" s="6" t="s">
        <v>304</v>
      </c>
      <c r="J83" s="6">
        <v>29.0</v>
      </c>
      <c r="K83" s="6" t="s">
        <v>489</v>
      </c>
      <c r="L83" s="6" t="s">
        <v>30</v>
      </c>
    </row>
    <row r="84" ht="23.25" customHeight="1">
      <c r="A84" s="6">
        <v>83.0</v>
      </c>
      <c r="B84" s="6" t="s">
        <v>21</v>
      </c>
      <c r="C84" s="6" t="s">
        <v>301</v>
      </c>
      <c r="D84" s="6" t="s">
        <v>39</v>
      </c>
      <c r="E84" s="6" t="s">
        <v>302</v>
      </c>
      <c r="F84" s="6" t="s">
        <v>25</v>
      </c>
      <c r="G84" s="6" t="s">
        <v>64</v>
      </c>
      <c r="H84" s="6" t="s">
        <v>303</v>
      </c>
      <c r="I84" s="6" t="s">
        <v>304</v>
      </c>
      <c r="J84" s="6">
        <v>16.0</v>
      </c>
      <c r="K84" s="6" t="s">
        <v>305</v>
      </c>
      <c r="L84" s="6" t="s">
        <v>30</v>
      </c>
    </row>
    <row r="85" ht="23.25" customHeight="1">
      <c r="A85" s="6">
        <v>84.0</v>
      </c>
      <c r="B85" s="6" t="s">
        <v>21</v>
      </c>
      <c r="C85" s="6" t="s">
        <v>819</v>
      </c>
      <c r="D85" s="6" t="s">
        <v>820</v>
      </c>
      <c r="E85" s="6" t="s">
        <v>821</v>
      </c>
      <c r="F85" s="6" t="s">
        <v>25</v>
      </c>
      <c r="G85" s="6" t="s">
        <v>64</v>
      </c>
      <c r="H85" s="6" t="s">
        <v>822</v>
      </c>
      <c r="I85" s="6" t="s">
        <v>304</v>
      </c>
      <c r="J85" s="6">
        <v>128.0</v>
      </c>
      <c r="K85" s="6" t="s">
        <v>823</v>
      </c>
      <c r="L85" s="6" t="s">
        <v>30</v>
      </c>
    </row>
    <row r="86" ht="23.25" customHeight="1">
      <c r="A86" s="6">
        <v>85.0</v>
      </c>
      <c r="B86" s="6" t="s">
        <v>21</v>
      </c>
      <c r="C86" s="6" t="s">
        <v>22</v>
      </c>
      <c r="D86" s="6" t="s">
        <v>23</v>
      </c>
      <c r="E86" s="6" t="s">
        <v>24</v>
      </c>
      <c r="F86" s="6" t="s">
        <v>25</v>
      </c>
      <c r="G86" s="6" t="s">
        <v>26</v>
      </c>
      <c r="H86" s="6" t="s">
        <v>27</v>
      </c>
      <c r="I86" s="6" t="s">
        <v>28</v>
      </c>
      <c r="J86" s="6">
        <v>1.0</v>
      </c>
      <c r="K86" s="6" t="s">
        <v>29</v>
      </c>
      <c r="L86" s="6" t="s">
        <v>30</v>
      </c>
    </row>
    <row r="87" ht="23.25" customHeight="1">
      <c r="A87" s="6">
        <v>86.0</v>
      </c>
      <c r="B87" s="6" t="s">
        <v>21</v>
      </c>
      <c r="C87" s="6" t="s">
        <v>385</v>
      </c>
      <c r="D87" s="6" t="s">
        <v>386</v>
      </c>
      <c r="E87" s="6" t="s">
        <v>387</v>
      </c>
      <c r="F87" s="6" t="s">
        <v>25</v>
      </c>
      <c r="G87" s="6" t="s">
        <v>64</v>
      </c>
      <c r="H87" s="6" t="s">
        <v>388</v>
      </c>
      <c r="I87" s="6" t="s">
        <v>28</v>
      </c>
      <c r="J87" s="6">
        <v>21.0</v>
      </c>
      <c r="K87" s="6" t="s">
        <v>230</v>
      </c>
      <c r="L87" s="6" t="s">
        <v>30</v>
      </c>
    </row>
    <row r="88" ht="23.25" customHeight="1">
      <c r="A88" s="6">
        <v>87.0</v>
      </c>
      <c r="B88" s="6" t="s">
        <v>21</v>
      </c>
      <c r="C88" s="6" t="s">
        <v>262</v>
      </c>
      <c r="D88" s="6" t="s">
        <v>39</v>
      </c>
      <c r="E88" s="6" t="s">
        <v>263</v>
      </c>
      <c r="F88" s="6" t="s">
        <v>25</v>
      </c>
      <c r="G88" s="6" t="s">
        <v>64</v>
      </c>
      <c r="H88" s="6" t="s">
        <v>264</v>
      </c>
      <c r="I88" s="6" t="s">
        <v>28</v>
      </c>
      <c r="J88" s="6">
        <v>13.0</v>
      </c>
      <c r="K88" s="6" t="s">
        <v>265</v>
      </c>
      <c r="L88" s="6" t="s">
        <v>30</v>
      </c>
    </row>
    <row r="89" ht="23.25" customHeight="1">
      <c r="A89" s="6">
        <v>88.0</v>
      </c>
      <c r="B89" s="6" t="s">
        <v>21</v>
      </c>
      <c r="C89" s="6" t="s">
        <v>83</v>
      </c>
      <c r="D89" s="6" t="s">
        <v>39</v>
      </c>
      <c r="E89" s="6" t="s">
        <v>84</v>
      </c>
      <c r="F89" s="6" t="s">
        <v>25</v>
      </c>
      <c r="G89" s="6" t="s">
        <v>64</v>
      </c>
      <c r="H89" s="6" t="s">
        <v>85</v>
      </c>
      <c r="I89" s="6" t="s">
        <v>86</v>
      </c>
      <c r="J89" s="6">
        <v>3.0</v>
      </c>
      <c r="K89" s="6" t="s">
        <v>87</v>
      </c>
      <c r="L89" s="6" t="s">
        <v>30</v>
      </c>
    </row>
    <row r="90" ht="23.25" customHeight="1">
      <c r="A90" s="6">
        <v>89.0</v>
      </c>
      <c r="B90" s="6" t="s">
        <v>21</v>
      </c>
      <c r="C90" s="6" t="s">
        <v>237</v>
      </c>
      <c r="D90" s="6" t="s">
        <v>238</v>
      </c>
      <c r="E90" s="6" t="s">
        <v>239</v>
      </c>
      <c r="F90" s="6" t="s">
        <v>25</v>
      </c>
      <c r="G90" s="6" t="s">
        <v>64</v>
      </c>
      <c r="H90" s="6" t="s">
        <v>240</v>
      </c>
      <c r="I90" s="6" t="s">
        <v>86</v>
      </c>
      <c r="J90" s="6">
        <v>11.0</v>
      </c>
      <c r="K90" s="6" t="s">
        <v>241</v>
      </c>
      <c r="L90" s="6" t="s">
        <v>30</v>
      </c>
    </row>
    <row r="91" ht="23.25" customHeight="1">
      <c r="A91" s="6">
        <v>90.0</v>
      </c>
      <c r="B91" s="6" t="s">
        <v>21</v>
      </c>
      <c r="C91" s="6" t="s">
        <v>389</v>
      </c>
      <c r="D91" s="6" t="s">
        <v>39</v>
      </c>
      <c r="E91" s="6" t="s">
        <v>390</v>
      </c>
      <c r="F91" s="6" t="s">
        <v>25</v>
      </c>
      <c r="G91" s="6" t="s">
        <v>64</v>
      </c>
      <c r="H91" s="6" t="s">
        <v>391</v>
      </c>
      <c r="I91" s="6" t="s">
        <v>36</v>
      </c>
      <c r="J91" s="6">
        <v>21.0</v>
      </c>
      <c r="K91" s="6" t="s">
        <v>392</v>
      </c>
      <c r="L91" s="6" t="s">
        <v>30</v>
      </c>
    </row>
    <row r="92" ht="23.25" customHeight="1">
      <c r="A92" s="6">
        <v>91.0</v>
      </c>
      <c r="B92" s="6" t="s">
        <v>21</v>
      </c>
      <c r="C92" s="6" t="s">
        <v>31</v>
      </c>
      <c r="D92" s="6" t="s">
        <v>32</v>
      </c>
      <c r="E92" s="6" t="s">
        <v>33</v>
      </c>
      <c r="F92" s="6" t="s">
        <v>25</v>
      </c>
      <c r="G92" s="6" t="s">
        <v>34</v>
      </c>
      <c r="H92" s="6" t="s">
        <v>35</v>
      </c>
      <c r="I92" s="6" t="s">
        <v>36</v>
      </c>
      <c r="J92" s="6">
        <v>1.0</v>
      </c>
      <c r="K92" s="6" t="s">
        <v>37</v>
      </c>
      <c r="L92" s="6" t="s">
        <v>30</v>
      </c>
    </row>
    <row r="93" ht="23.25" customHeight="1">
      <c r="A93" s="6">
        <v>92.0</v>
      </c>
      <c r="B93" s="6" t="s">
        <v>21</v>
      </c>
      <c r="C93" s="6" t="s">
        <v>824</v>
      </c>
      <c r="D93" s="6" t="s">
        <v>39</v>
      </c>
      <c r="E93" s="6" t="s">
        <v>825</v>
      </c>
      <c r="F93" s="6" t="s">
        <v>25</v>
      </c>
      <c r="G93" s="6" t="s">
        <v>64</v>
      </c>
      <c r="H93" s="6" t="s">
        <v>826</v>
      </c>
      <c r="I93" s="6" t="s">
        <v>827</v>
      </c>
      <c r="J93" s="6">
        <v>97.0</v>
      </c>
      <c r="K93" s="6" t="s">
        <v>828</v>
      </c>
      <c r="L93" s="6" t="s">
        <v>598</v>
      </c>
    </row>
    <row r="94" ht="23.25" customHeight="1">
      <c r="A94" s="6">
        <v>93.0</v>
      </c>
      <c r="B94" s="6" t="s">
        <v>21</v>
      </c>
      <c r="C94" s="6" t="s">
        <v>829</v>
      </c>
      <c r="D94" s="6" t="s">
        <v>830</v>
      </c>
      <c r="E94" s="6" t="s">
        <v>831</v>
      </c>
      <c r="F94" s="6" t="s">
        <v>25</v>
      </c>
      <c r="G94" s="6" t="s">
        <v>64</v>
      </c>
      <c r="H94" s="6" t="s">
        <v>832</v>
      </c>
      <c r="I94" s="6" t="s">
        <v>111</v>
      </c>
      <c r="J94" s="6">
        <v>90.0</v>
      </c>
      <c r="K94" s="6" t="s">
        <v>833</v>
      </c>
      <c r="L94" s="6" t="s">
        <v>30</v>
      </c>
    </row>
    <row r="95" ht="23.25" customHeight="1">
      <c r="A95" s="6">
        <v>94.0</v>
      </c>
      <c r="B95" s="6" t="s">
        <v>21</v>
      </c>
      <c r="C95" s="6" t="s">
        <v>834</v>
      </c>
      <c r="D95" s="6" t="s">
        <v>243</v>
      </c>
      <c r="E95" s="6" t="s">
        <v>835</v>
      </c>
      <c r="F95" s="6" t="s">
        <v>25</v>
      </c>
      <c r="G95" s="6" t="s">
        <v>64</v>
      </c>
      <c r="H95" s="6" t="s">
        <v>836</v>
      </c>
      <c r="I95" s="6" t="s">
        <v>837</v>
      </c>
      <c r="J95" s="6">
        <v>144.0</v>
      </c>
      <c r="K95" s="6" t="s">
        <v>838</v>
      </c>
      <c r="L95" s="6" t="s">
        <v>598</v>
      </c>
    </row>
    <row r="96" ht="23.25" customHeight="1">
      <c r="A96" s="6">
        <v>95.0</v>
      </c>
      <c r="B96" s="6" t="s">
        <v>21</v>
      </c>
      <c r="C96" s="6" t="s">
        <v>108</v>
      </c>
      <c r="D96" s="6" t="s">
        <v>39</v>
      </c>
      <c r="E96" s="6" t="s">
        <v>109</v>
      </c>
      <c r="F96" s="6" t="s">
        <v>25</v>
      </c>
      <c r="G96" s="6" t="s">
        <v>64</v>
      </c>
      <c r="H96" s="6" t="s">
        <v>110</v>
      </c>
      <c r="I96" s="6" t="s">
        <v>111</v>
      </c>
      <c r="J96" s="6">
        <v>4.0</v>
      </c>
      <c r="K96" s="6" t="s">
        <v>67</v>
      </c>
      <c r="L96" s="6" t="s">
        <v>30</v>
      </c>
    </row>
    <row r="97" ht="23.25" customHeight="1">
      <c r="A97" s="6">
        <v>96.0</v>
      </c>
      <c r="B97" s="6" t="s">
        <v>21</v>
      </c>
      <c r="C97" s="6" t="s">
        <v>393</v>
      </c>
      <c r="D97" s="6" t="s">
        <v>39</v>
      </c>
      <c r="E97" s="6" t="s">
        <v>394</v>
      </c>
      <c r="F97" s="6" t="s">
        <v>25</v>
      </c>
      <c r="G97" s="6" t="s">
        <v>64</v>
      </c>
      <c r="H97" s="6" t="s">
        <v>395</v>
      </c>
      <c r="I97" s="6" t="s">
        <v>111</v>
      </c>
      <c r="J97" s="6">
        <v>21.0</v>
      </c>
      <c r="K97" s="6" t="s">
        <v>396</v>
      </c>
      <c r="L97" s="6" t="s">
        <v>30</v>
      </c>
    </row>
    <row r="98" ht="23.25" customHeight="1">
      <c r="A98" s="6">
        <v>97.0</v>
      </c>
      <c r="B98" s="6" t="s">
        <v>21</v>
      </c>
      <c r="C98" s="6" t="s">
        <v>839</v>
      </c>
      <c r="D98" s="6" t="s">
        <v>840</v>
      </c>
      <c r="E98" s="6" t="s">
        <v>841</v>
      </c>
      <c r="F98" s="6" t="s">
        <v>25</v>
      </c>
      <c r="G98" s="6" t="s">
        <v>64</v>
      </c>
      <c r="H98" s="6" t="s">
        <v>842</v>
      </c>
      <c r="I98" s="6" t="s">
        <v>279</v>
      </c>
      <c r="J98" s="6">
        <v>34.0</v>
      </c>
      <c r="K98" s="6" t="s">
        <v>843</v>
      </c>
      <c r="L98" s="6" t="s">
        <v>598</v>
      </c>
    </row>
    <row r="99" ht="23.25" customHeight="1">
      <c r="A99" s="6">
        <v>98.0</v>
      </c>
      <c r="B99" s="6" t="s">
        <v>21</v>
      </c>
      <c r="C99" s="6" t="s">
        <v>276</v>
      </c>
      <c r="D99" s="6" t="s">
        <v>39</v>
      </c>
      <c r="E99" s="6" t="s">
        <v>277</v>
      </c>
      <c r="F99" s="6" t="s">
        <v>25</v>
      </c>
      <c r="G99" s="6" t="s">
        <v>64</v>
      </c>
      <c r="H99" s="6" t="s">
        <v>278</v>
      </c>
      <c r="I99" s="6" t="s">
        <v>279</v>
      </c>
      <c r="J99" s="6">
        <v>14.0</v>
      </c>
      <c r="K99" s="6" t="s">
        <v>280</v>
      </c>
      <c r="L99" s="6" t="s">
        <v>30</v>
      </c>
    </row>
    <row r="100" ht="23.25" customHeight="1">
      <c r="A100" s="6">
        <v>99.0</v>
      </c>
      <c r="B100" s="6" t="s">
        <v>21</v>
      </c>
      <c r="C100" s="6" t="s">
        <v>467</v>
      </c>
      <c r="D100" s="6" t="s">
        <v>39</v>
      </c>
      <c r="E100" s="6" t="s">
        <v>468</v>
      </c>
      <c r="F100" s="6" t="s">
        <v>25</v>
      </c>
      <c r="G100" s="6" t="s">
        <v>64</v>
      </c>
      <c r="H100" s="6" t="s">
        <v>469</v>
      </c>
      <c r="I100" s="6" t="s">
        <v>279</v>
      </c>
      <c r="J100" s="6">
        <v>27.0</v>
      </c>
      <c r="K100" s="6" t="s">
        <v>470</v>
      </c>
      <c r="L100" s="6" t="s">
        <v>30</v>
      </c>
    </row>
    <row r="101" ht="23.25" customHeight="1">
      <c r="A101" s="6">
        <v>100.0</v>
      </c>
      <c r="B101" s="6" t="s">
        <v>88</v>
      </c>
      <c r="C101" s="6" t="s">
        <v>844</v>
      </c>
      <c r="D101" s="6" t="s">
        <v>845</v>
      </c>
      <c r="E101" s="6" t="s">
        <v>846</v>
      </c>
      <c r="F101" s="6" t="s">
        <v>25</v>
      </c>
      <c r="G101" s="6" t="s">
        <v>64</v>
      </c>
      <c r="H101" s="6" t="s">
        <v>847</v>
      </c>
      <c r="I101" s="6" t="s">
        <v>219</v>
      </c>
      <c r="J101" s="6">
        <v>50.0</v>
      </c>
      <c r="K101" s="6" t="s">
        <v>848</v>
      </c>
      <c r="L101" s="6" t="s">
        <v>598</v>
      </c>
    </row>
    <row r="102" ht="23.25" customHeight="1">
      <c r="A102" s="6">
        <v>101.0</v>
      </c>
      <c r="B102" s="6" t="s">
        <v>88</v>
      </c>
      <c r="C102" s="6" t="s">
        <v>215</v>
      </c>
      <c r="D102" s="6" t="s">
        <v>216</v>
      </c>
      <c r="E102" s="6" t="s">
        <v>217</v>
      </c>
      <c r="F102" s="6" t="s">
        <v>25</v>
      </c>
      <c r="G102" s="6" t="s">
        <v>64</v>
      </c>
      <c r="H102" s="6" t="s">
        <v>218</v>
      </c>
      <c r="I102" s="6" t="s">
        <v>219</v>
      </c>
      <c r="J102" s="6">
        <v>9.0</v>
      </c>
      <c r="K102" s="6" t="s">
        <v>93</v>
      </c>
      <c r="L102" s="6" t="s">
        <v>30</v>
      </c>
    </row>
    <row r="103" ht="23.25" customHeight="1">
      <c r="A103" s="6">
        <v>102.0</v>
      </c>
      <c r="B103" s="6" t="s">
        <v>88</v>
      </c>
      <c r="C103" s="6" t="s">
        <v>849</v>
      </c>
      <c r="D103" s="6" t="s">
        <v>850</v>
      </c>
      <c r="E103" s="6" t="s">
        <v>851</v>
      </c>
      <c r="F103" s="6" t="s">
        <v>25</v>
      </c>
      <c r="G103" s="6" t="s">
        <v>64</v>
      </c>
      <c r="H103" s="6" t="s">
        <v>852</v>
      </c>
      <c r="I103" s="6" t="s">
        <v>97</v>
      </c>
      <c r="J103" s="6">
        <v>60.0</v>
      </c>
      <c r="K103" s="6" t="s">
        <v>853</v>
      </c>
      <c r="L103" s="6" t="s">
        <v>30</v>
      </c>
    </row>
    <row r="104" ht="23.25" customHeight="1">
      <c r="A104" s="6">
        <v>103.0</v>
      </c>
      <c r="B104" s="6" t="s">
        <v>88</v>
      </c>
      <c r="C104" s="6" t="s">
        <v>854</v>
      </c>
      <c r="D104" s="6" t="s">
        <v>39</v>
      </c>
      <c r="E104" s="6" t="s">
        <v>855</v>
      </c>
      <c r="F104" s="6" t="s">
        <v>25</v>
      </c>
      <c r="G104" s="6" t="s">
        <v>64</v>
      </c>
      <c r="H104" s="6" t="s">
        <v>856</v>
      </c>
      <c r="I104" s="6" t="s">
        <v>97</v>
      </c>
      <c r="J104" s="6">
        <v>107.0</v>
      </c>
      <c r="K104" s="6" t="s">
        <v>857</v>
      </c>
      <c r="L104" s="6" t="s">
        <v>598</v>
      </c>
    </row>
    <row r="105" ht="23.25" customHeight="1">
      <c r="A105" s="6">
        <v>104.0</v>
      </c>
      <c r="B105" s="6" t="s">
        <v>88</v>
      </c>
      <c r="C105" s="6" t="s">
        <v>858</v>
      </c>
      <c r="D105" s="6" t="s">
        <v>859</v>
      </c>
      <c r="E105" s="6" t="s">
        <v>860</v>
      </c>
      <c r="F105" s="6" t="s">
        <v>25</v>
      </c>
      <c r="G105" s="6" t="s">
        <v>64</v>
      </c>
      <c r="H105" s="6" t="s">
        <v>861</v>
      </c>
      <c r="I105" s="6" t="s">
        <v>862</v>
      </c>
      <c r="J105" s="6">
        <v>66.0</v>
      </c>
      <c r="K105" s="6" t="s">
        <v>853</v>
      </c>
      <c r="L105" s="6" t="s">
        <v>30</v>
      </c>
    </row>
    <row r="106" ht="23.25" customHeight="1">
      <c r="A106" s="6">
        <v>105.0</v>
      </c>
      <c r="B106" s="6" t="s">
        <v>88</v>
      </c>
      <c r="C106" s="6" t="s">
        <v>863</v>
      </c>
      <c r="D106" s="6" t="s">
        <v>864</v>
      </c>
      <c r="E106" s="6" t="s">
        <v>865</v>
      </c>
      <c r="F106" s="6" t="s">
        <v>25</v>
      </c>
      <c r="G106" s="6" t="s">
        <v>64</v>
      </c>
      <c r="H106" s="6" t="s">
        <v>866</v>
      </c>
      <c r="I106" s="6" t="s">
        <v>862</v>
      </c>
      <c r="J106" s="6">
        <v>72.0</v>
      </c>
      <c r="K106" s="6" t="s">
        <v>867</v>
      </c>
      <c r="L106" s="6" t="s">
        <v>30</v>
      </c>
    </row>
    <row r="107" ht="23.25" customHeight="1">
      <c r="A107" s="6">
        <v>106.0</v>
      </c>
      <c r="B107" s="6" t="s">
        <v>88</v>
      </c>
      <c r="C107" s="6" t="s">
        <v>868</v>
      </c>
      <c r="D107" s="6" t="s">
        <v>869</v>
      </c>
      <c r="E107" s="6" t="s">
        <v>870</v>
      </c>
      <c r="F107" s="6" t="s">
        <v>25</v>
      </c>
      <c r="G107" s="6" t="s">
        <v>64</v>
      </c>
      <c r="H107" s="6" t="s">
        <v>871</v>
      </c>
      <c r="I107" s="6" t="s">
        <v>161</v>
      </c>
      <c r="J107" s="6">
        <v>52.0</v>
      </c>
      <c r="K107" s="6" t="s">
        <v>357</v>
      </c>
      <c r="L107" s="6" t="s">
        <v>30</v>
      </c>
    </row>
    <row r="108" ht="23.25" customHeight="1">
      <c r="A108" s="6">
        <v>107.0</v>
      </c>
      <c r="B108" s="6" t="s">
        <v>88</v>
      </c>
      <c r="C108" s="6" t="s">
        <v>872</v>
      </c>
      <c r="D108" s="6" t="s">
        <v>873</v>
      </c>
      <c r="E108" s="6" t="s">
        <v>874</v>
      </c>
      <c r="F108" s="6" t="s">
        <v>25</v>
      </c>
      <c r="G108" s="6" t="s">
        <v>64</v>
      </c>
      <c r="H108" s="6" t="s">
        <v>875</v>
      </c>
      <c r="I108" s="6" t="s">
        <v>161</v>
      </c>
      <c r="J108" s="6">
        <v>141.0</v>
      </c>
      <c r="K108" s="6" t="s">
        <v>876</v>
      </c>
      <c r="L108" s="6" t="s">
        <v>598</v>
      </c>
    </row>
    <row r="109" ht="23.25" customHeight="1">
      <c r="A109" s="6">
        <v>108.0</v>
      </c>
      <c r="B109" s="6" t="s">
        <v>88</v>
      </c>
      <c r="C109" s="6" t="s">
        <v>877</v>
      </c>
      <c r="D109" s="6" t="s">
        <v>878</v>
      </c>
      <c r="E109" s="6" t="s">
        <v>879</v>
      </c>
      <c r="F109" s="6" t="s">
        <v>25</v>
      </c>
      <c r="G109" s="6" t="s">
        <v>64</v>
      </c>
      <c r="H109" s="6" t="s">
        <v>880</v>
      </c>
      <c r="I109" s="6" t="s">
        <v>71</v>
      </c>
      <c r="J109" s="6">
        <v>81.0</v>
      </c>
      <c r="K109" s="6" t="s">
        <v>853</v>
      </c>
      <c r="L109" s="6" t="s">
        <v>598</v>
      </c>
    </row>
    <row r="110" ht="23.25" customHeight="1">
      <c r="A110" s="6">
        <v>109.0</v>
      </c>
      <c r="B110" s="6" t="s">
        <v>88</v>
      </c>
      <c r="C110" s="6" t="s">
        <v>143</v>
      </c>
      <c r="D110" s="6" t="s">
        <v>144</v>
      </c>
      <c r="E110" s="6" t="s">
        <v>145</v>
      </c>
      <c r="F110" s="6" t="s">
        <v>25</v>
      </c>
      <c r="G110" s="6" t="s">
        <v>64</v>
      </c>
      <c r="H110" s="6" t="s">
        <v>146</v>
      </c>
      <c r="I110" s="6" t="s">
        <v>71</v>
      </c>
      <c r="J110" s="6">
        <v>6.0</v>
      </c>
      <c r="K110" s="6" t="s">
        <v>147</v>
      </c>
      <c r="L110" s="6" t="s">
        <v>30</v>
      </c>
    </row>
    <row r="111" ht="23.25" customHeight="1">
      <c r="A111" s="6">
        <v>110.0</v>
      </c>
      <c r="B111" s="6" t="s">
        <v>88</v>
      </c>
      <c r="C111" s="6" t="s">
        <v>881</v>
      </c>
      <c r="D111" s="6" t="s">
        <v>882</v>
      </c>
      <c r="E111" s="6" t="s">
        <v>883</v>
      </c>
      <c r="F111" s="6" t="s">
        <v>25</v>
      </c>
      <c r="G111" s="6" t="s">
        <v>64</v>
      </c>
      <c r="H111" s="6" t="s">
        <v>884</v>
      </c>
      <c r="I111" s="6" t="s">
        <v>246</v>
      </c>
      <c r="J111" s="6">
        <v>48.0</v>
      </c>
      <c r="K111" s="6" t="s">
        <v>885</v>
      </c>
      <c r="L111" s="6" t="s">
        <v>30</v>
      </c>
    </row>
    <row r="112" ht="23.25" customHeight="1">
      <c r="A112" s="6">
        <v>111.0</v>
      </c>
      <c r="B112" s="6" t="s">
        <v>88</v>
      </c>
      <c r="C112" s="6" t="s">
        <v>410</v>
      </c>
      <c r="D112" s="6" t="s">
        <v>411</v>
      </c>
      <c r="E112" s="6" t="s">
        <v>412</v>
      </c>
      <c r="F112" s="6" t="s">
        <v>25</v>
      </c>
      <c r="G112" s="6" t="s">
        <v>64</v>
      </c>
      <c r="H112" s="6" t="s">
        <v>413</v>
      </c>
      <c r="I112" s="6" t="s">
        <v>76</v>
      </c>
      <c r="J112" s="6">
        <v>22.0</v>
      </c>
      <c r="K112" s="6" t="s">
        <v>414</v>
      </c>
      <c r="L112" s="6" t="s">
        <v>30</v>
      </c>
    </row>
    <row r="113" ht="23.25" customHeight="1">
      <c r="A113" s="6">
        <v>112.0</v>
      </c>
      <c r="B113" s="6" t="s">
        <v>88</v>
      </c>
      <c r="C113" s="6" t="s">
        <v>886</v>
      </c>
      <c r="D113" s="6" t="s">
        <v>887</v>
      </c>
      <c r="E113" s="6" t="s">
        <v>888</v>
      </c>
      <c r="F113" s="6" t="s">
        <v>25</v>
      </c>
      <c r="G113" s="6" t="s">
        <v>64</v>
      </c>
      <c r="H113" s="6" t="s">
        <v>889</v>
      </c>
      <c r="I113" s="6" t="s">
        <v>76</v>
      </c>
      <c r="J113" s="6">
        <v>37.0</v>
      </c>
      <c r="K113" s="6" t="s">
        <v>357</v>
      </c>
      <c r="L113" s="6" t="s">
        <v>30</v>
      </c>
    </row>
    <row r="114" ht="23.25" customHeight="1">
      <c r="A114" s="6">
        <v>113.0</v>
      </c>
      <c r="B114" s="6" t="s">
        <v>88</v>
      </c>
      <c r="C114" s="6" t="s">
        <v>890</v>
      </c>
      <c r="D114" s="6" t="s">
        <v>891</v>
      </c>
      <c r="E114" s="6" t="s">
        <v>892</v>
      </c>
      <c r="F114" s="6" t="s">
        <v>25</v>
      </c>
      <c r="G114" s="6" t="s">
        <v>64</v>
      </c>
      <c r="H114" s="6" t="s">
        <v>893</v>
      </c>
      <c r="I114" s="6" t="s">
        <v>894</v>
      </c>
      <c r="J114" s="6">
        <v>51.0</v>
      </c>
      <c r="K114" s="6" t="s">
        <v>876</v>
      </c>
      <c r="L114" s="6" t="s">
        <v>30</v>
      </c>
    </row>
    <row r="115" ht="23.25" customHeight="1">
      <c r="A115" s="6">
        <v>114.0</v>
      </c>
      <c r="B115" s="6" t="s">
        <v>88</v>
      </c>
      <c r="C115" s="6" t="s">
        <v>895</v>
      </c>
      <c r="D115" s="6" t="s">
        <v>39</v>
      </c>
      <c r="E115" s="6" t="s">
        <v>896</v>
      </c>
      <c r="F115" s="6" t="s">
        <v>25</v>
      </c>
      <c r="G115" s="6" t="s">
        <v>64</v>
      </c>
      <c r="H115" s="6" t="s">
        <v>897</v>
      </c>
      <c r="I115" s="6" t="s">
        <v>894</v>
      </c>
      <c r="J115" s="6">
        <v>102.0</v>
      </c>
      <c r="K115" s="6" t="s">
        <v>898</v>
      </c>
      <c r="L115" s="6" t="s">
        <v>598</v>
      </c>
    </row>
    <row r="116" ht="23.25" customHeight="1">
      <c r="A116" s="6">
        <v>115.0</v>
      </c>
      <c r="B116" s="6" t="s">
        <v>88</v>
      </c>
      <c r="C116" s="6" t="s">
        <v>266</v>
      </c>
      <c r="D116" s="6" t="s">
        <v>267</v>
      </c>
      <c r="E116" s="6" t="s">
        <v>268</v>
      </c>
      <c r="F116" s="6" t="s">
        <v>25</v>
      </c>
      <c r="G116" s="6" t="s">
        <v>64</v>
      </c>
      <c r="H116" s="6" t="s">
        <v>269</v>
      </c>
      <c r="I116" s="6" t="s">
        <v>270</v>
      </c>
      <c r="J116" s="6">
        <v>13.0</v>
      </c>
      <c r="K116" s="6" t="s">
        <v>271</v>
      </c>
      <c r="L116" s="6" t="s">
        <v>30</v>
      </c>
    </row>
    <row r="117" ht="23.25" customHeight="1">
      <c r="A117" s="6">
        <v>116.0</v>
      </c>
      <c r="B117" s="6" t="s">
        <v>88</v>
      </c>
      <c r="C117" s="6" t="s">
        <v>899</v>
      </c>
      <c r="D117" s="6" t="s">
        <v>900</v>
      </c>
      <c r="E117" s="6" t="s">
        <v>901</v>
      </c>
      <c r="F117" s="6" t="s">
        <v>25</v>
      </c>
      <c r="G117" s="6" t="s">
        <v>64</v>
      </c>
      <c r="H117" s="6" t="s">
        <v>902</v>
      </c>
      <c r="I117" s="6" t="s">
        <v>270</v>
      </c>
      <c r="J117" s="6">
        <v>114.0</v>
      </c>
      <c r="K117" s="6" t="s">
        <v>430</v>
      </c>
      <c r="L117" s="6" t="s">
        <v>598</v>
      </c>
    </row>
    <row r="118" ht="23.25" customHeight="1">
      <c r="A118" s="6">
        <v>117.0</v>
      </c>
      <c r="B118" s="6" t="s">
        <v>88</v>
      </c>
      <c r="C118" s="6" t="s">
        <v>903</v>
      </c>
      <c r="D118" s="6" t="s">
        <v>904</v>
      </c>
      <c r="E118" s="6" t="s">
        <v>905</v>
      </c>
      <c r="F118" s="6" t="s">
        <v>25</v>
      </c>
      <c r="G118" s="6" t="s">
        <v>64</v>
      </c>
      <c r="H118" s="6" t="s">
        <v>906</v>
      </c>
      <c r="I118" s="6" t="s">
        <v>270</v>
      </c>
      <c r="J118" s="6">
        <v>119.0</v>
      </c>
      <c r="K118" s="6" t="s">
        <v>768</v>
      </c>
      <c r="L118" s="6" t="s">
        <v>598</v>
      </c>
    </row>
    <row r="119" ht="23.25" customHeight="1">
      <c r="A119" s="6">
        <v>118.0</v>
      </c>
      <c r="B119" s="6" t="s">
        <v>88</v>
      </c>
      <c r="C119" s="6" t="s">
        <v>907</v>
      </c>
      <c r="D119" s="6" t="s">
        <v>908</v>
      </c>
      <c r="E119" s="6" t="s">
        <v>909</v>
      </c>
      <c r="F119" s="6" t="s">
        <v>25</v>
      </c>
      <c r="G119" s="6" t="s">
        <v>64</v>
      </c>
      <c r="H119" s="6" t="s">
        <v>910</v>
      </c>
      <c r="I119" s="6" t="s">
        <v>43</v>
      </c>
      <c r="J119" s="6">
        <v>58.0</v>
      </c>
      <c r="K119" s="6" t="s">
        <v>911</v>
      </c>
      <c r="L119" s="6" t="s">
        <v>30</v>
      </c>
    </row>
    <row r="120" ht="23.25" customHeight="1">
      <c r="A120" s="6">
        <v>119.0</v>
      </c>
      <c r="B120" s="6" t="s">
        <v>88</v>
      </c>
      <c r="C120" s="6" t="s">
        <v>912</v>
      </c>
      <c r="D120" s="6" t="s">
        <v>913</v>
      </c>
      <c r="E120" s="6" t="s">
        <v>914</v>
      </c>
      <c r="F120" s="6" t="s">
        <v>25</v>
      </c>
      <c r="G120" s="6" t="s">
        <v>64</v>
      </c>
      <c r="H120" s="6" t="s">
        <v>915</v>
      </c>
      <c r="I120" s="6" t="s">
        <v>43</v>
      </c>
      <c r="J120" s="6">
        <v>108.0</v>
      </c>
      <c r="K120" s="6" t="s">
        <v>357</v>
      </c>
      <c r="L120" s="6" t="s">
        <v>598</v>
      </c>
    </row>
    <row r="121" ht="23.25" customHeight="1">
      <c r="A121" s="6">
        <v>120.0</v>
      </c>
      <c r="B121" s="6" t="s">
        <v>88</v>
      </c>
      <c r="C121" s="6" t="s">
        <v>916</v>
      </c>
      <c r="D121" s="6" t="s">
        <v>917</v>
      </c>
      <c r="E121" s="6" t="s">
        <v>918</v>
      </c>
      <c r="F121" s="6" t="s">
        <v>25</v>
      </c>
      <c r="G121" s="6" t="s">
        <v>64</v>
      </c>
      <c r="H121" s="6" t="s">
        <v>919</v>
      </c>
      <c r="I121" s="6" t="s">
        <v>102</v>
      </c>
      <c r="J121" s="6">
        <v>93.0</v>
      </c>
      <c r="K121" s="6" t="s">
        <v>357</v>
      </c>
      <c r="L121" s="6" t="s">
        <v>598</v>
      </c>
    </row>
    <row r="122" ht="23.25" customHeight="1">
      <c r="A122" s="6">
        <v>121.0</v>
      </c>
      <c r="B122" s="6" t="s">
        <v>88</v>
      </c>
      <c r="C122" s="6" t="s">
        <v>920</v>
      </c>
      <c r="D122" s="6" t="s">
        <v>39</v>
      </c>
      <c r="E122" s="6" t="s">
        <v>921</v>
      </c>
      <c r="F122" s="6" t="s">
        <v>25</v>
      </c>
      <c r="G122" s="6" t="s">
        <v>64</v>
      </c>
      <c r="H122" s="6" t="s">
        <v>922</v>
      </c>
      <c r="I122" s="6" t="s">
        <v>102</v>
      </c>
      <c r="J122" s="6">
        <v>65.0</v>
      </c>
      <c r="K122" s="6" t="s">
        <v>923</v>
      </c>
      <c r="L122" s="6" t="s">
        <v>598</v>
      </c>
    </row>
    <row r="123" ht="23.25" customHeight="1">
      <c r="A123" s="6">
        <v>122.0</v>
      </c>
      <c r="B123" s="6" t="s">
        <v>88</v>
      </c>
      <c r="C123" s="6" t="s">
        <v>490</v>
      </c>
      <c r="D123" s="6" t="s">
        <v>491</v>
      </c>
      <c r="E123" s="6" t="s">
        <v>492</v>
      </c>
      <c r="F123" s="6" t="s">
        <v>25</v>
      </c>
      <c r="G123" s="6" t="s">
        <v>64</v>
      </c>
      <c r="H123" s="6" t="s">
        <v>493</v>
      </c>
      <c r="I123" s="6" t="s">
        <v>115</v>
      </c>
      <c r="J123" s="6">
        <v>29.0</v>
      </c>
      <c r="K123" s="6" t="s">
        <v>357</v>
      </c>
      <c r="L123" s="6" t="s">
        <v>30</v>
      </c>
    </row>
    <row r="124" ht="23.25" customHeight="1">
      <c r="A124" s="6">
        <v>123.0</v>
      </c>
      <c r="B124" s="6" t="s">
        <v>88</v>
      </c>
      <c r="C124" s="6" t="s">
        <v>924</v>
      </c>
      <c r="D124" s="6" t="s">
        <v>925</v>
      </c>
      <c r="E124" s="6" t="s">
        <v>926</v>
      </c>
      <c r="F124" s="6" t="s">
        <v>25</v>
      </c>
      <c r="G124" s="6" t="s">
        <v>64</v>
      </c>
      <c r="H124" s="6" t="s">
        <v>927</v>
      </c>
      <c r="I124" s="6" t="s">
        <v>166</v>
      </c>
      <c r="J124" s="6">
        <v>107.0</v>
      </c>
      <c r="K124" s="6" t="s">
        <v>928</v>
      </c>
      <c r="L124" s="6" t="s">
        <v>598</v>
      </c>
    </row>
    <row r="125" ht="23.25" customHeight="1">
      <c r="A125" s="6">
        <v>124.0</v>
      </c>
      <c r="B125" s="6" t="s">
        <v>88</v>
      </c>
      <c r="C125" s="6" t="s">
        <v>281</v>
      </c>
      <c r="D125" s="6" t="s">
        <v>282</v>
      </c>
      <c r="E125" s="6" t="s">
        <v>283</v>
      </c>
      <c r="F125" s="6" t="s">
        <v>25</v>
      </c>
      <c r="G125" s="6" t="s">
        <v>64</v>
      </c>
      <c r="H125" s="6" t="s">
        <v>284</v>
      </c>
      <c r="I125" s="6" t="s">
        <v>106</v>
      </c>
      <c r="J125" s="6">
        <v>14.0</v>
      </c>
      <c r="K125" s="6" t="s">
        <v>285</v>
      </c>
      <c r="L125" s="6" t="s">
        <v>30</v>
      </c>
    </row>
    <row r="126" ht="23.25" customHeight="1">
      <c r="A126" s="6">
        <v>125.0</v>
      </c>
      <c r="B126" s="6" t="s">
        <v>88</v>
      </c>
      <c r="C126" s="6" t="s">
        <v>929</v>
      </c>
      <c r="D126" s="6" t="s">
        <v>930</v>
      </c>
      <c r="E126" s="6" t="s">
        <v>931</v>
      </c>
      <c r="F126" s="6" t="s">
        <v>25</v>
      </c>
      <c r="G126" s="6" t="s">
        <v>64</v>
      </c>
      <c r="H126" s="6" t="s">
        <v>932</v>
      </c>
      <c r="I126" s="6" t="s">
        <v>106</v>
      </c>
      <c r="J126" s="6">
        <v>119.0</v>
      </c>
      <c r="K126" s="6" t="s">
        <v>933</v>
      </c>
      <c r="L126" s="6" t="s">
        <v>598</v>
      </c>
    </row>
    <row r="127" ht="23.25" customHeight="1">
      <c r="A127" s="6">
        <v>126.0</v>
      </c>
      <c r="B127" s="6" t="s">
        <v>88</v>
      </c>
      <c r="C127" s="6" t="s">
        <v>934</v>
      </c>
      <c r="D127" s="6" t="s">
        <v>935</v>
      </c>
      <c r="E127" s="6" t="s">
        <v>936</v>
      </c>
      <c r="F127" s="6" t="s">
        <v>25</v>
      </c>
      <c r="G127" s="6" t="s">
        <v>64</v>
      </c>
      <c r="H127" s="6" t="s">
        <v>937</v>
      </c>
      <c r="I127" s="6" t="s">
        <v>202</v>
      </c>
      <c r="J127" s="6">
        <v>37.0</v>
      </c>
      <c r="K127" s="6" t="s">
        <v>938</v>
      </c>
      <c r="L127" s="6" t="s">
        <v>30</v>
      </c>
    </row>
    <row r="128" ht="23.25" customHeight="1">
      <c r="A128" s="6">
        <v>127.0</v>
      </c>
      <c r="B128" s="6" t="s">
        <v>88</v>
      </c>
      <c r="C128" s="6" t="s">
        <v>939</v>
      </c>
      <c r="D128" s="6" t="s">
        <v>940</v>
      </c>
      <c r="E128" s="6" t="s">
        <v>941</v>
      </c>
      <c r="F128" s="6" t="s">
        <v>25</v>
      </c>
      <c r="G128" s="6" t="s">
        <v>64</v>
      </c>
      <c r="H128" s="6" t="s">
        <v>942</v>
      </c>
      <c r="I128" s="6" t="s">
        <v>202</v>
      </c>
      <c r="J128" s="6">
        <v>84.0</v>
      </c>
      <c r="K128" s="6" t="s">
        <v>357</v>
      </c>
      <c r="L128" s="6" t="s">
        <v>598</v>
      </c>
    </row>
    <row r="129" ht="23.25" customHeight="1">
      <c r="A129" s="6">
        <v>128.0</v>
      </c>
      <c r="B129" s="6" t="s">
        <v>88</v>
      </c>
      <c r="C129" s="6" t="s">
        <v>306</v>
      </c>
      <c r="D129" s="6" t="s">
        <v>307</v>
      </c>
      <c r="E129" s="6" t="s">
        <v>308</v>
      </c>
      <c r="F129" s="6" t="s">
        <v>25</v>
      </c>
      <c r="G129" s="6" t="s">
        <v>64</v>
      </c>
      <c r="H129" s="6" t="s">
        <v>309</v>
      </c>
      <c r="I129" s="6" t="s">
        <v>92</v>
      </c>
      <c r="J129" s="6">
        <v>16.0</v>
      </c>
      <c r="K129" s="6" t="s">
        <v>310</v>
      </c>
      <c r="L129" s="6" t="s">
        <v>30</v>
      </c>
    </row>
    <row r="130" ht="23.25" customHeight="1">
      <c r="A130" s="6">
        <v>129.0</v>
      </c>
      <c r="B130" s="6" t="s">
        <v>88</v>
      </c>
      <c r="C130" s="6" t="s">
        <v>89</v>
      </c>
      <c r="D130" s="6" t="s">
        <v>39</v>
      </c>
      <c r="E130" s="6" t="s">
        <v>90</v>
      </c>
      <c r="F130" s="6" t="s">
        <v>25</v>
      </c>
      <c r="G130" s="6" t="s">
        <v>64</v>
      </c>
      <c r="H130" s="6" t="s">
        <v>91</v>
      </c>
      <c r="I130" s="6" t="s">
        <v>92</v>
      </c>
      <c r="J130" s="6">
        <v>3.0</v>
      </c>
      <c r="K130" s="6" t="s">
        <v>93</v>
      </c>
      <c r="L130" s="6" t="s">
        <v>30</v>
      </c>
    </row>
    <row r="131" ht="23.25" customHeight="1">
      <c r="A131" s="6">
        <v>130.0</v>
      </c>
      <c r="B131" s="6" t="s">
        <v>88</v>
      </c>
      <c r="C131" s="6" t="s">
        <v>943</v>
      </c>
      <c r="D131" s="6" t="s">
        <v>944</v>
      </c>
      <c r="E131" s="6" t="s">
        <v>945</v>
      </c>
      <c r="F131" s="6" t="s">
        <v>25</v>
      </c>
      <c r="G131" s="6" t="s">
        <v>64</v>
      </c>
      <c r="H131" s="6" t="s">
        <v>946</v>
      </c>
      <c r="I131" s="6" t="s">
        <v>49</v>
      </c>
      <c r="J131" s="6">
        <v>116.0</v>
      </c>
      <c r="K131" s="6" t="s">
        <v>357</v>
      </c>
      <c r="L131" s="6" t="s">
        <v>598</v>
      </c>
    </row>
    <row r="132" ht="23.25" customHeight="1">
      <c r="A132" s="6">
        <v>131.0</v>
      </c>
      <c r="B132" s="6" t="s">
        <v>88</v>
      </c>
      <c r="C132" s="6" t="s">
        <v>947</v>
      </c>
      <c r="D132" s="6" t="s">
        <v>948</v>
      </c>
      <c r="E132" s="6" t="s">
        <v>949</v>
      </c>
      <c r="F132" s="6" t="s">
        <v>25</v>
      </c>
      <c r="G132" s="6" t="s">
        <v>64</v>
      </c>
      <c r="H132" s="6" t="s">
        <v>950</v>
      </c>
      <c r="I132" s="6" t="s">
        <v>49</v>
      </c>
      <c r="J132" s="6">
        <v>85.0</v>
      </c>
      <c r="K132" s="6" t="s">
        <v>951</v>
      </c>
      <c r="L132" s="6" t="s">
        <v>598</v>
      </c>
    </row>
    <row r="133" ht="23.25" customHeight="1">
      <c r="A133" s="6">
        <v>132.0</v>
      </c>
      <c r="B133" s="6" t="s">
        <v>88</v>
      </c>
      <c r="C133" s="6" t="s">
        <v>506</v>
      </c>
      <c r="D133" s="6" t="s">
        <v>507</v>
      </c>
      <c r="E133" s="6" t="s">
        <v>508</v>
      </c>
      <c r="F133" s="6" t="s">
        <v>25</v>
      </c>
      <c r="G133" s="6" t="s">
        <v>64</v>
      </c>
      <c r="H133" s="6" t="s">
        <v>509</v>
      </c>
      <c r="I133" s="6" t="s">
        <v>131</v>
      </c>
      <c r="J133" s="6">
        <v>31.0</v>
      </c>
      <c r="K133" s="6" t="s">
        <v>510</v>
      </c>
      <c r="L133" s="6" t="s">
        <v>30</v>
      </c>
    </row>
    <row r="134" ht="23.25" customHeight="1">
      <c r="A134" s="6">
        <v>133.0</v>
      </c>
      <c r="B134" s="6" t="s">
        <v>88</v>
      </c>
      <c r="C134" s="6" t="s">
        <v>426</v>
      </c>
      <c r="D134" s="6" t="s">
        <v>427</v>
      </c>
      <c r="E134" s="6" t="s">
        <v>428</v>
      </c>
      <c r="F134" s="6" t="s">
        <v>25</v>
      </c>
      <c r="G134" s="6" t="s">
        <v>64</v>
      </c>
      <c r="H134" s="6" t="s">
        <v>429</v>
      </c>
      <c r="I134" s="6" t="s">
        <v>131</v>
      </c>
      <c r="J134" s="6">
        <v>24.0</v>
      </c>
      <c r="K134" s="6" t="s">
        <v>430</v>
      </c>
      <c r="L134" s="6" t="s">
        <v>30</v>
      </c>
    </row>
    <row r="135" ht="23.25" customHeight="1">
      <c r="A135" s="6">
        <v>134.0</v>
      </c>
      <c r="B135" s="6" t="s">
        <v>88</v>
      </c>
      <c r="C135" s="6" t="s">
        <v>952</v>
      </c>
      <c r="D135" s="6" t="s">
        <v>953</v>
      </c>
      <c r="E135" s="6" t="s">
        <v>954</v>
      </c>
      <c r="F135" s="6" t="s">
        <v>25</v>
      </c>
      <c r="G135" s="6" t="s">
        <v>64</v>
      </c>
      <c r="H135" s="6" t="s">
        <v>955</v>
      </c>
      <c r="I135" s="6" t="s">
        <v>131</v>
      </c>
      <c r="J135" s="6">
        <v>83.0</v>
      </c>
      <c r="K135" s="6" t="s">
        <v>357</v>
      </c>
      <c r="L135" s="6" t="s">
        <v>598</v>
      </c>
    </row>
    <row r="136" ht="23.25" customHeight="1">
      <c r="A136" s="6">
        <v>135.0</v>
      </c>
      <c r="B136" s="6" t="s">
        <v>88</v>
      </c>
      <c r="C136" s="6" t="s">
        <v>956</v>
      </c>
      <c r="D136" s="6" t="s">
        <v>957</v>
      </c>
      <c r="E136" s="6" t="s">
        <v>958</v>
      </c>
      <c r="F136" s="6" t="s">
        <v>25</v>
      </c>
      <c r="G136" s="6" t="s">
        <v>64</v>
      </c>
      <c r="H136" s="6" t="s">
        <v>959</v>
      </c>
      <c r="I136" s="6" t="s">
        <v>474</v>
      </c>
      <c r="J136" s="6">
        <v>49.0</v>
      </c>
      <c r="K136" s="6" t="s">
        <v>357</v>
      </c>
      <c r="L136" s="6" t="s">
        <v>598</v>
      </c>
    </row>
    <row r="137" ht="23.25" customHeight="1">
      <c r="A137" s="6">
        <v>136.0</v>
      </c>
      <c r="B137" s="6" t="s">
        <v>88</v>
      </c>
      <c r="C137" s="6" t="s">
        <v>960</v>
      </c>
      <c r="D137" s="6" t="s">
        <v>961</v>
      </c>
      <c r="E137" s="6" t="s">
        <v>962</v>
      </c>
      <c r="F137" s="6" t="s">
        <v>25</v>
      </c>
      <c r="G137" s="6" t="s">
        <v>64</v>
      </c>
      <c r="H137" s="6" t="s">
        <v>963</v>
      </c>
      <c r="I137" s="6" t="s">
        <v>474</v>
      </c>
      <c r="J137" s="6">
        <v>53.0</v>
      </c>
      <c r="K137" s="6" t="s">
        <v>964</v>
      </c>
      <c r="L137" s="6" t="s">
        <v>598</v>
      </c>
    </row>
    <row r="138" ht="23.25" customHeight="1">
      <c r="A138" s="6">
        <v>137.0</v>
      </c>
      <c r="B138" s="6" t="s">
        <v>21</v>
      </c>
      <c r="C138" s="6" t="s">
        <v>965</v>
      </c>
      <c r="D138" s="6" t="s">
        <v>966</v>
      </c>
      <c r="E138" s="6" t="s">
        <v>967</v>
      </c>
      <c r="F138" s="6" t="s">
        <v>25</v>
      </c>
      <c r="G138" s="6" t="s">
        <v>64</v>
      </c>
      <c r="H138" s="6" t="s">
        <v>968</v>
      </c>
      <c r="I138" s="6" t="s">
        <v>219</v>
      </c>
      <c r="J138" s="6">
        <v>176.0</v>
      </c>
      <c r="K138" s="6" t="s">
        <v>969</v>
      </c>
      <c r="L138" s="6" t="s">
        <v>598</v>
      </c>
    </row>
    <row r="139" ht="23.25" customHeight="1">
      <c r="A139" s="6">
        <v>138.0</v>
      </c>
      <c r="B139" s="6" t="s">
        <v>21</v>
      </c>
      <c r="C139" s="6" t="s">
        <v>494</v>
      </c>
      <c r="D139" s="6" t="s">
        <v>39</v>
      </c>
      <c r="E139" s="6" t="s">
        <v>495</v>
      </c>
      <c r="F139" s="6" t="s">
        <v>25</v>
      </c>
      <c r="G139" s="6" t="s">
        <v>64</v>
      </c>
      <c r="H139" s="6" t="s">
        <v>496</v>
      </c>
      <c r="I139" s="6" t="s">
        <v>219</v>
      </c>
      <c r="J139" s="6">
        <v>29.0</v>
      </c>
      <c r="K139" s="6" t="s">
        <v>230</v>
      </c>
      <c r="L139" s="6" t="s">
        <v>30</v>
      </c>
    </row>
    <row r="140" ht="23.25" customHeight="1">
      <c r="A140" s="6">
        <v>139.0</v>
      </c>
      <c r="B140" s="6" t="s">
        <v>21</v>
      </c>
      <c r="C140" s="6" t="s">
        <v>342</v>
      </c>
      <c r="D140" s="6" t="s">
        <v>39</v>
      </c>
      <c r="E140" s="6" t="s">
        <v>343</v>
      </c>
      <c r="F140" s="6" t="s">
        <v>25</v>
      </c>
      <c r="G140" s="6" t="s">
        <v>64</v>
      </c>
      <c r="H140" s="6" t="s">
        <v>344</v>
      </c>
      <c r="I140" s="6" t="s">
        <v>97</v>
      </c>
      <c r="J140" s="6">
        <v>19.0</v>
      </c>
      <c r="K140" s="6" t="s">
        <v>345</v>
      </c>
      <c r="L140" s="6" t="s">
        <v>30</v>
      </c>
    </row>
    <row r="141" ht="23.25" customHeight="1">
      <c r="A141" s="6">
        <v>140.0</v>
      </c>
      <c r="B141" s="6" t="s">
        <v>21</v>
      </c>
      <c r="C141" s="6" t="s">
        <v>94</v>
      </c>
      <c r="D141" s="6" t="s">
        <v>39</v>
      </c>
      <c r="E141" s="6" t="s">
        <v>95</v>
      </c>
      <c r="F141" s="6" t="s">
        <v>25</v>
      </c>
      <c r="G141" s="6" t="s">
        <v>64</v>
      </c>
      <c r="H141" s="6" t="s">
        <v>96</v>
      </c>
      <c r="I141" s="6" t="s">
        <v>97</v>
      </c>
      <c r="J141" s="6">
        <v>3.0</v>
      </c>
      <c r="K141" s="6" t="s">
        <v>98</v>
      </c>
      <c r="L141" s="6" t="s">
        <v>30</v>
      </c>
    </row>
    <row r="142" ht="23.25" customHeight="1">
      <c r="A142" s="6">
        <v>141.0</v>
      </c>
      <c r="B142" s="6" t="s">
        <v>21</v>
      </c>
      <c r="C142" s="6" t="s">
        <v>970</v>
      </c>
      <c r="D142" s="6" t="s">
        <v>39</v>
      </c>
      <c r="E142" s="6" t="s">
        <v>971</v>
      </c>
      <c r="F142" s="6" t="s">
        <v>25</v>
      </c>
      <c r="G142" s="6" t="s">
        <v>64</v>
      </c>
      <c r="H142" s="6" t="s">
        <v>972</v>
      </c>
      <c r="I142" s="6" t="s">
        <v>862</v>
      </c>
      <c r="J142" s="6">
        <v>41.0</v>
      </c>
      <c r="K142" s="6" t="s">
        <v>973</v>
      </c>
      <c r="L142" s="6" t="s">
        <v>30</v>
      </c>
    </row>
    <row r="143" ht="23.25" customHeight="1">
      <c r="A143" s="6">
        <v>142.0</v>
      </c>
      <c r="B143" s="6" t="s">
        <v>21</v>
      </c>
      <c r="C143" s="6" t="s">
        <v>974</v>
      </c>
      <c r="D143" s="6" t="s">
        <v>39</v>
      </c>
      <c r="E143" s="6" t="s">
        <v>975</v>
      </c>
      <c r="F143" s="6" t="s">
        <v>25</v>
      </c>
      <c r="G143" s="6" t="s">
        <v>64</v>
      </c>
      <c r="H143" s="6" t="s">
        <v>976</v>
      </c>
      <c r="I143" s="6" t="s">
        <v>977</v>
      </c>
      <c r="J143" s="6">
        <v>123.0</v>
      </c>
      <c r="K143" s="6" t="s">
        <v>230</v>
      </c>
      <c r="L143" s="6" t="s">
        <v>598</v>
      </c>
    </row>
    <row r="144" ht="23.25" customHeight="1">
      <c r="A144" s="6">
        <v>143.0</v>
      </c>
      <c r="B144" s="6" t="s">
        <v>21</v>
      </c>
      <c r="C144" s="6" t="s">
        <v>157</v>
      </c>
      <c r="D144" s="6" t="s">
        <v>158</v>
      </c>
      <c r="E144" s="6" t="s">
        <v>159</v>
      </c>
      <c r="F144" s="6" t="s">
        <v>25</v>
      </c>
      <c r="G144" s="6" t="s">
        <v>64</v>
      </c>
      <c r="H144" s="6" t="s">
        <v>160</v>
      </c>
      <c r="I144" s="6" t="s">
        <v>161</v>
      </c>
      <c r="J144" s="6">
        <v>7.0</v>
      </c>
      <c r="K144" s="6" t="s">
        <v>162</v>
      </c>
      <c r="L144" s="6" t="s">
        <v>30</v>
      </c>
    </row>
    <row r="145" ht="23.25" customHeight="1">
      <c r="A145" s="6">
        <v>144.0</v>
      </c>
      <c r="B145" s="6" t="s">
        <v>21</v>
      </c>
      <c r="C145" s="6" t="s">
        <v>117</v>
      </c>
      <c r="D145" s="6" t="s">
        <v>39</v>
      </c>
      <c r="E145" s="6" t="s">
        <v>118</v>
      </c>
      <c r="F145" s="6" t="s">
        <v>25</v>
      </c>
      <c r="G145" s="6" t="s">
        <v>64</v>
      </c>
      <c r="H145" s="6" t="s">
        <v>119</v>
      </c>
      <c r="I145" s="6" t="s">
        <v>71</v>
      </c>
      <c r="J145" s="6">
        <v>5.0</v>
      </c>
      <c r="K145" s="6" t="s">
        <v>98</v>
      </c>
      <c r="L145" s="6" t="s">
        <v>30</v>
      </c>
    </row>
    <row r="146" ht="23.25" customHeight="1">
      <c r="A146" s="6">
        <v>145.0</v>
      </c>
      <c r="B146" s="6" t="s">
        <v>21</v>
      </c>
      <c r="C146" s="6" t="s">
        <v>68</v>
      </c>
      <c r="D146" s="6" t="s">
        <v>39</v>
      </c>
      <c r="E146" s="6" t="s">
        <v>69</v>
      </c>
      <c r="F146" s="6" t="s">
        <v>25</v>
      </c>
      <c r="G146" s="6" t="s">
        <v>64</v>
      </c>
      <c r="H146" s="6" t="s">
        <v>70</v>
      </c>
      <c r="I146" s="6" t="s">
        <v>71</v>
      </c>
      <c r="J146" s="6">
        <v>2.0</v>
      </c>
      <c r="K146" s="6" t="s">
        <v>72</v>
      </c>
      <c r="L146" s="6" t="s">
        <v>30</v>
      </c>
    </row>
    <row r="147" ht="23.25" customHeight="1">
      <c r="A147" s="6">
        <v>146.0</v>
      </c>
      <c r="B147" s="6" t="s">
        <v>21</v>
      </c>
      <c r="C147" s="6" t="s">
        <v>978</v>
      </c>
      <c r="D147" s="6" t="s">
        <v>979</v>
      </c>
      <c r="E147" s="6" t="s">
        <v>980</v>
      </c>
      <c r="F147" s="6" t="s">
        <v>25</v>
      </c>
      <c r="G147" s="6" t="s">
        <v>64</v>
      </c>
      <c r="H147" s="6" t="s">
        <v>981</v>
      </c>
      <c r="I147" s="6" t="s">
        <v>982</v>
      </c>
      <c r="J147" s="6">
        <v>65.0</v>
      </c>
      <c r="K147" s="6" t="s">
        <v>983</v>
      </c>
      <c r="L147" s="6" t="s">
        <v>598</v>
      </c>
    </row>
    <row r="148" ht="23.25" customHeight="1">
      <c r="A148" s="6">
        <v>147.0</v>
      </c>
      <c r="B148" s="6" t="s">
        <v>21</v>
      </c>
      <c r="C148" s="6" t="s">
        <v>242</v>
      </c>
      <c r="D148" s="6" t="s">
        <v>243</v>
      </c>
      <c r="E148" s="6" t="s">
        <v>244</v>
      </c>
      <c r="F148" s="6" t="s">
        <v>25</v>
      </c>
      <c r="G148" s="6" t="s">
        <v>64</v>
      </c>
      <c r="H148" s="6" t="s">
        <v>245</v>
      </c>
      <c r="I148" s="6" t="s">
        <v>246</v>
      </c>
      <c r="J148" s="6">
        <v>11.0</v>
      </c>
      <c r="K148" s="6" t="s">
        <v>247</v>
      </c>
      <c r="L148" s="6" t="s">
        <v>30</v>
      </c>
    </row>
    <row r="149" ht="23.25" customHeight="1">
      <c r="A149" s="6">
        <v>148.0</v>
      </c>
      <c r="B149" s="6" t="s">
        <v>21</v>
      </c>
      <c r="C149" s="6" t="s">
        <v>188</v>
      </c>
      <c r="D149" s="6" t="s">
        <v>189</v>
      </c>
      <c r="E149" s="6" t="s">
        <v>190</v>
      </c>
      <c r="F149" s="6" t="s">
        <v>25</v>
      </c>
      <c r="G149" s="6" t="s">
        <v>64</v>
      </c>
      <c r="H149" s="6" t="s">
        <v>191</v>
      </c>
      <c r="I149" s="6" t="s">
        <v>192</v>
      </c>
      <c r="J149" s="6">
        <v>8.0</v>
      </c>
      <c r="K149" s="6" t="s">
        <v>193</v>
      </c>
      <c r="L149" s="6" t="s">
        <v>30</v>
      </c>
    </row>
    <row r="150" ht="23.25" customHeight="1">
      <c r="A150" s="6">
        <v>149.0</v>
      </c>
      <c r="B150" s="6" t="s">
        <v>21</v>
      </c>
      <c r="C150" s="6" t="s">
        <v>296</v>
      </c>
      <c r="D150" s="6" t="s">
        <v>297</v>
      </c>
      <c r="E150" s="6" t="s">
        <v>298</v>
      </c>
      <c r="F150" s="6" t="s">
        <v>25</v>
      </c>
      <c r="G150" s="6" t="s">
        <v>64</v>
      </c>
      <c r="H150" s="6" t="s">
        <v>299</v>
      </c>
      <c r="I150" s="6" t="s">
        <v>246</v>
      </c>
      <c r="J150" s="6">
        <v>15.0</v>
      </c>
      <c r="K150" s="6" t="s">
        <v>300</v>
      </c>
      <c r="L150" s="6" t="s">
        <v>30</v>
      </c>
    </row>
    <row r="151" ht="23.25" customHeight="1">
      <c r="A151" s="6">
        <v>150.0</v>
      </c>
      <c r="B151" s="6" t="s">
        <v>21</v>
      </c>
      <c r="C151" s="6" t="s">
        <v>73</v>
      </c>
      <c r="D151" s="6" t="s">
        <v>39</v>
      </c>
      <c r="E151" s="6" t="s">
        <v>74</v>
      </c>
      <c r="F151" s="6" t="s">
        <v>25</v>
      </c>
      <c r="G151" s="6" t="s">
        <v>64</v>
      </c>
      <c r="H151" s="6" t="s">
        <v>75</v>
      </c>
      <c r="I151" s="6" t="s">
        <v>76</v>
      </c>
      <c r="J151" s="6">
        <v>2.0</v>
      </c>
      <c r="K151" s="6" t="s">
        <v>44</v>
      </c>
      <c r="L151" s="6" t="s">
        <v>30</v>
      </c>
    </row>
    <row r="152" ht="23.25" customHeight="1">
      <c r="A152" s="6">
        <v>151.0</v>
      </c>
      <c r="B152" s="6" t="s">
        <v>21</v>
      </c>
      <c r="C152" s="6" t="s">
        <v>332</v>
      </c>
      <c r="D152" s="6" t="s">
        <v>333</v>
      </c>
      <c r="E152" s="6" t="s">
        <v>334</v>
      </c>
      <c r="F152" s="6" t="s">
        <v>25</v>
      </c>
      <c r="G152" s="6" t="s">
        <v>64</v>
      </c>
      <c r="H152" s="6" t="s">
        <v>335</v>
      </c>
      <c r="I152" s="6" t="s">
        <v>76</v>
      </c>
      <c r="J152" s="6">
        <v>18.0</v>
      </c>
      <c r="K152" s="6" t="s">
        <v>336</v>
      </c>
      <c r="L152" s="6" t="s">
        <v>30</v>
      </c>
    </row>
    <row r="153" ht="23.25" customHeight="1">
      <c r="A153" s="6">
        <v>152.0</v>
      </c>
      <c r="B153" s="6" t="s">
        <v>21</v>
      </c>
      <c r="C153" s="6" t="s">
        <v>984</v>
      </c>
      <c r="D153" s="6" t="s">
        <v>985</v>
      </c>
      <c r="E153" s="6" t="s">
        <v>986</v>
      </c>
      <c r="F153" s="6" t="s">
        <v>25</v>
      </c>
      <c r="G153" s="6" t="s">
        <v>64</v>
      </c>
      <c r="H153" s="6" t="s">
        <v>987</v>
      </c>
      <c r="I153" s="6" t="s">
        <v>988</v>
      </c>
      <c r="J153" s="6">
        <v>66.0</v>
      </c>
      <c r="K153" s="6" t="s">
        <v>989</v>
      </c>
      <c r="L153" s="6" t="s">
        <v>598</v>
      </c>
    </row>
    <row r="154" ht="23.25" customHeight="1">
      <c r="A154" s="6">
        <v>153.0</v>
      </c>
      <c r="B154" s="6" t="s">
        <v>21</v>
      </c>
      <c r="C154" s="6" t="s">
        <v>990</v>
      </c>
      <c r="D154" s="6" t="s">
        <v>39</v>
      </c>
      <c r="E154" s="6" t="s">
        <v>991</v>
      </c>
      <c r="F154" s="6" t="s">
        <v>25</v>
      </c>
      <c r="G154" s="6" t="s">
        <v>64</v>
      </c>
      <c r="H154" s="6" t="s">
        <v>992</v>
      </c>
      <c r="I154" s="6" t="s">
        <v>993</v>
      </c>
      <c r="J154" s="6">
        <v>31.0</v>
      </c>
      <c r="K154" s="6" t="s">
        <v>994</v>
      </c>
      <c r="L154" s="6" t="s">
        <v>598</v>
      </c>
    </row>
    <row r="155" ht="23.25" customHeight="1">
      <c r="A155" s="6">
        <v>154.0</v>
      </c>
      <c r="B155" s="6" t="s">
        <v>21</v>
      </c>
      <c r="C155" s="6" t="s">
        <v>38</v>
      </c>
      <c r="D155" s="6" t="s">
        <v>39</v>
      </c>
      <c r="E155" s="6" t="s">
        <v>40</v>
      </c>
      <c r="F155" s="6" t="s">
        <v>25</v>
      </c>
      <c r="G155" s="6" t="s">
        <v>41</v>
      </c>
      <c r="H155" s="6" t="s">
        <v>42</v>
      </c>
      <c r="I155" s="6" t="s">
        <v>43</v>
      </c>
      <c r="J155" s="6">
        <v>1.0</v>
      </c>
      <c r="K155" s="6" t="s">
        <v>44</v>
      </c>
      <c r="L155" s="6" t="s">
        <v>30</v>
      </c>
    </row>
    <row r="156" ht="23.25" customHeight="1">
      <c r="A156" s="6">
        <v>155.0</v>
      </c>
      <c r="B156" s="6" t="s">
        <v>21</v>
      </c>
      <c r="C156" s="6" t="s">
        <v>995</v>
      </c>
      <c r="D156" s="6" t="s">
        <v>243</v>
      </c>
      <c r="E156" s="6" t="s">
        <v>996</v>
      </c>
      <c r="F156" s="6" t="s">
        <v>25</v>
      </c>
      <c r="G156" s="6" t="s">
        <v>64</v>
      </c>
      <c r="H156" s="6" t="s">
        <v>997</v>
      </c>
      <c r="I156" s="6" t="s">
        <v>43</v>
      </c>
      <c r="J156" s="6">
        <v>42.0</v>
      </c>
      <c r="K156" s="6" t="s">
        <v>998</v>
      </c>
      <c r="L156" s="6" t="s">
        <v>598</v>
      </c>
    </row>
    <row r="157" ht="23.25" customHeight="1">
      <c r="A157" s="6">
        <v>156.0</v>
      </c>
      <c r="B157" s="6" t="s">
        <v>21</v>
      </c>
      <c r="C157" s="6" t="s">
        <v>999</v>
      </c>
      <c r="D157" s="6" t="s">
        <v>39</v>
      </c>
      <c r="E157" s="6" t="s">
        <v>1000</v>
      </c>
      <c r="F157" s="6" t="s">
        <v>25</v>
      </c>
      <c r="G157" s="6" t="s">
        <v>64</v>
      </c>
      <c r="H157" s="6" t="s">
        <v>1001</v>
      </c>
      <c r="I157" s="6" t="s">
        <v>43</v>
      </c>
      <c r="J157" s="6">
        <v>43.0</v>
      </c>
      <c r="K157" s="6" t="s">
        <v>230</v>
      </c>
      <c r="L157" s="6" t="s">
        <v>598</v>
      </c>
    </row>
    <row r="158" ht="23.25" customHeight="1">
      <c r="A158" s="6">
        <v>157.0</v>
      </c>
      <c r="B158" s="6" t="s">
        <v>21</v>
      </c>
      <c r="C158" s="6" t="s">
        <v>1002</v>
      </c>
      <c r="D158" s="6" t="s">
        <v>1003</v>
      </c>
      <c r="E158" s="6" t="s">
        <v>1004</v>
      </c>
      <c r="F158" s="6" t="s">
        <v>25</v>
      </c>
      <c r="G158" s="6" t="s">
        <v>64</v>
      </c>
      <c r="H158" s="6" t="s">
        <v>1005</v>
      </c>
      <c r="I158" s="6" t="s">
        <v>102</v>
      </c>
      <c r="J158" s="6">
        <v>62.0</v>
      </c>
      <c r="K158" s="6" t="s">
        <v>1006</v>
      </c>
      <c r="L158" s="6" t="s">
        <v>598</v>
      </c>
    </row>
    <row r="159" ht="23.25" customHeight="1">
      <c r="A159" s="6">
        <v>158.0</v>
      </c>
      <c r="B159" s="6" t="s">
        <v>21</v>
      </c>
      <c r="C159" s="6" t="s">
        <v>99</v>
      </c>
      <c r="D159" s="6" t="s">
        <v>39</v>
      </c>
      <c r="E159" s="6" t="s">
        <v>100</v>
      </c>
      <c r="F159" s="6" t="s">
        <v>25</v>
      </c>
      <c r="G159" s="6" t="s">
        <v>64</v>
      </c>
      <c r="H159" s="6" t="s">
        <v>101</v>
      </c>
      <c r="I159" s="6" t="s">
        <v>102</v>
      </c>
      <c r="J159" s="6">
        <v>3.0</v>
      </c>
      <c r="K159" s="6" t="s">
        <v>98</v>
      </c>
      <c r="L159" s="6" t="s">
        <v>30</v>
      </c>
    </row>
    <row r="160" ht="23.25" customHeight="1">
      <c r="A160" s="6">
        <v>159.0</v>
      </c>
      <c r="B160" s="6" t="s">
        <v>21</v>
      </c>
      <c r="C160" s="6" t="s">
        <v>120</v>
      </c>
      <c r="D160" s="6" t="s">
        <v>39</v>
      </c>
      <c r="E160" s="6" t="s">
        <v>121</v>
      </c>
      <c r="F160" s="6" t="s">
        <v>25</v>
      </c>
      <c r="G160" s="6" t="s">
        <v>64</v>
      </c>
      <c r="H160" s="6" t="s">
        <v>122</v>
      </c>
      <c r="I160" s="6" t="s">
        <v>102</v>
      </c>
      <c r="J160" s="6">
        <v>5.0</v>
      </c>
      <c r="K160" s="6" t="s">
        <v>123</v>
      </c>
      <c r="L160" s="6" t="s">
        <v>30</v>
      </c>
    </row>
    <row r="161" ht="23.25" customHeight="1">
      <c r="A161" s="6">
        <v>160.0</v>
      </c>
      <c r="B161" s="6" t="s">
        <v>21</v>
      </c>
      <c r="C161" s="6" t="s">
        <v>112</v>
      </c>
      <c r="D161" s="6" t="s">
        <v>39</v>
      </c>
      <c r="E161" s="6" t="s">
        <v>113</v>
      </c>
      <c r="F161" s="6" t="s">
        <v>25</v>
      </c>
      <c r="G161" s="6" t="s">
        <v>64</v>
      </c>
      <c r="H161" s="6" t="s">
        <v>114</v>
      </c>
      <c r="I161" s="6" t="s">
        <v>115</v>
      </c>
      <c r="J161" s="6">
        <v>4.0</v>
      </c>
      <c r="K161" s="6" t="s">
        <v>116</v>
      </c>
      <c r="L161" s="6" t="s">
        <v>30</v>
      </c>
    </row>
    <row r="162" ht="23.25" customHeight="1">
      <c r="A162" s="6">
        <v>161.0</v>
      </c>
      <c r="B162" s="6" t="s">
        <v>21</v>
      </c>
      <c r="C162" s="6" t="s">
        <v>124</v>
      </c>
      <c r="D162" s="6" t="s">
        <v>39</v>
      </c>
      <c r="E162" s="6" t="s">
        <v>125</v>
      </c>
      <c r="F162" s="6" t="s">
        <v>25</v>
      </c>
      <c r="G162" s="6" t="s">
        <v>64</v>
      </c>
      <c r="H162" s="6" t="s">
        <v>126</v>
      </c>
      <c r="I162" s="6" t="s">
        <v>115</v>
      </c>
      <c r="J162" s="6">
        <v>5.0</v>
      </c>
      <c r="K162" s="6" t="s">
        <v>67</v>
      </c>
      <c r="L162" s="6" t="s">
        <v>30</v>
      </c>
    </row>
    <row r="163" ht="23.25" customHeight="1">
      <c r="A163" s="6">
        <v>162.0</v>
      </c>
      <c r="B163" s="6" t="s">
        <v>21</v>
      </c>
      <c r="C163" s="6" t="s">
        <v>163</v>
      </c>
      <c r="D163" s="6" t="s">
        <v>39</v>
      </c>
      <c r="E163" s="6" t="s">
        <v>164</v>
      </c>
      <c r="F163" s="6" t="s">
        <v>25</v>
      </c>
      <c r="G163" s="6" t="s">
        <v>64</v>
      </c>
      <c r="H163" s="6" t="s">
        <v>165</v>
      </c>
      <c r="I163" s="6" t="s">
        <v>166</v>
      </c>
      <c r="J163" s="6">
        <v>7.0</v>
      </c>
      <c r="K163" s="6" t="s">
        <v>167</v>
      </c>
      <c r="L163" s="6" t="s">
        <v>30</v>
      </c>
    </row>
    <row r="164" ht="23.25" customHeight="1">
      <c r="A164" s="6">
        <v>163.0</v>
      </c>
      <c r="B164" s="6" t="s">
        <v>21</v>
      </c>
      <c r="C164" s="6" t="s">
        <v>194</v>
      </c>
      <c r="D164" s="6" t="s">
        <v>39</v>
      </c>
      <c r="E164" s="6" t="s">
        <v>195</v>
      </c>
      <c r="F164" s="6" t="s">
        <v>25</v>
      </c>
      <c r="G164" s="6" t="s">
        <v>64</v>
      </c>
      <c r="H164" s="6" t="s">
        <v>196</v>
      </c>
      <c r="I164" s="6" t="s">
        <v>166</v>
      </c>
      <c r="J164" s="6">
        <v>8.0</v>
      </c>
      <c r="K164" s="6" t="s">
        <v>197</v>
      </c>
      <c r="L164" s="6" t="s">
        <v>30</v>
      </c>
    </row>
    <row r="165" ht="23.25" customHeight="1">
      <c r="A165" s="6">
        <v>164.0</v>
      </c>
      <c r="B165" s="6" t="s">
        <v>21</v>
      </c>
      <c r="C165" s="6" t="s">
        <v>1007</v>
      </c>
      <c r="D165" s="6" t="s">
        <v>39</v>
      </c>
      <c r="E165" s="6" t="s">
        <v>1008</v>
      </c>
      <c r="F165" s="6" t="s">
        <v>25</v>
      </c>
      <c r="G165" s="6" t="s">
        <v>64</v>
      </c>
      <c r="H165" s="6" t="s">
        <v>1009</v>
      </c>
      <c r="I165" s="6" t="s">
        <v>166</v>
      </c>
      <c r="J165" s="6">
        <v>42.0</v>
      </c>
      <c r="K165" s="6" t="s">
        <v>1010</v>
      </c>
      <c r="L165" s="6" t="s">
        <v>598</v>
      </c>
    </row>
    <row r="166" ht="23.25" customHeight="1">
      <c r="A166" s="6">
        <v>165.0</v>
      </c>
      <c r="B166" s="6" t="s">
        <v>21</v>
      </c>
      <c r="C166" s="6" t="s">
        <v>103</v>
      </c>
      <c r="D166" s="6" t="s">
        <v>39</v>
      </c>
      <c r="E166" s="6" t="s">
        <v>104</v>
      </c>
      <c r="F166" s="6" t="s">
        <v>25</v>
      </c>
      <c r="G166" s="6" t="s">
        <v>64</v>
      </c>
      <c r="H166" s="6" t="s">
        <v>105</v>
      </c>
      <c r="I166" s="6" t="s">
        <v>106</v>
      </c>
      <c r="J166" s="6">
        <v>3.0</v>
      </c>
      <c r="K166" s="6" t="s">
        <v>107</v>
      </c>
      <c r="L166" s="6" t="s">
        <v>30</v>
      </c>
    </row>
    <row r="167" ht="23.25" customHeight="1">
      <c r="A167" s="6">
        <v>166.0</v>
      </c>
      <c r="B167" s="6" t="s">
        <v>21</v>
      </c>
      <c r="C167" s="6" t="s">
        <v>1011</v>
      </c>
      <c r="D167" s="6" t="s">
        <v>1012</v>
      </c>
      <c r="E167" s="6" t="s">
        <v>1013</v>
      </c>
      <c r="F167" s="6" t="s">
        <v>25</v>
      </c>
      <c r="G167" s="6" t="s">
        <v>64</v>
      </c>
      <c r="H167" s="6" t="s">
        <v>1014</v>
      </c>
      <c r="I167" s="6" t="s">
        <v>106</v>
      </c>
      <c r="J167" s="6">
        <v>52.0</v>
      </c>
      <c r="K167" s="6" t="s">
        <v>1015</v>
      </c>
      <c r="L167" s="6" t="s">
        <v>598</v>
      </c>
    </row>
    <row r="168" ht="23.25" customHeight="1">
      <c r="A168" s="6">
        <v>167.0</v>
      </c>
      <c r="B168" s="6" t="s">
        <v>21</v>
      </c>
      <c r="C168" s="6" t="s">
        <v>1016</v>
      </c>
      <c r="D168" s="6" t="s">
        <v>39</v>
      </c>
      <c r="E168" s="6" t="s">
        <v>1017</v>
      </c>
      <c r="F168" s="6" t="s">
        <v>25</v>
      </c>
      <c r="G168" s="6" t="s">
        <v>64</v>
      </c>
      <c r="H168" s="6" t="s">
        <v>1018</v>
      </c>
      <c r="I168" s="6" t="s">
        <v>202</v>
      </c>
      <c r="J168" s="6">
        <v>224.0</v>
      </c>
      <c r="K168" s="6" t="s">
        <v>1019</v>
      </c>
      <c r="L168" s="6" t="s">
        <v>598</v>
      </c>
    </row>
    <row r="169" ht="23.25" customHeight="1">
      <c r="A169" s="6">
        <v>168.0</v>
      </c>
      <c r="B169" s="6" t="s">
        <v>21</v>
      </c>
      <c r="C169" s="6" t="s">
        <v>198</v>
      </c>
      <c r="D169" s="6" t="s">
        <v>199</v>
      </c>
      <c r="E169" s="6" t="s">
        <v>200</v>
      </c>
      <c r="F169" s="6" t="s">
        <v>25</v>
      </c>
      <c r="G169" s="6" t="s">
        <v>64</v>
      </c>
      <c r="H169" s="6" t="s">
        <v>201</v>
      </c>
      <c r="I169" s="6" t="s">
        <v>202</v>
      </c>
      <c r="J169" s="6">
        <v>8.0</v>
      </c>
      <c r="K169" s="6" t="s">
        <v>203</v>
      </c>
      <c r="L169" s="6" t="s">
        <v>30</v>
      </c>
    </row>
    <row r="170" ht="23.25" customHeight="1">
      <c r="A170" s="6">
        <v>169.0</v>
      </c>
      <c r="B170" s="6" t="s">
        <v>21</v>
      </c>
      <c r="C170" s="6" t="s">
        <v>1020</v>
      </c>
      <c r="D170" s="6" t="s">
        <v>39</v>
      </c>
      <c r="E170" s="6" t="s">
        <v>1021</v>
      </c>
      <c r="F170" s="6" t="s">
        <v>25</v>
      </c>
      <c r="G170" s="6" t="s">
        <v>64</v>
      </c>
      <c r="H170" s="6" t="s">
        <v>1022</v>
      </c>
      <c r="I170" s="6" t="s">
        <v>202</v>
      </c>
      <c r="J170" s="6">
        <v>40.0</v>
      </c>
      <c r="K170" s="6" t="s">
        <v>1023</v>
      </c>
      <c r="L170" s="6" t="s">
        <v>598</v>
      </c>
    </row>
    <row r="171" ht="23.25" customHeight="1">
      <c r="A171" s="6">
        <v>170.0</v>
      </c>
      <c r="B171" s="6" t="s">
        <v>21</v>
      </c>
      <c r="C171" s="6" t="s">
        <v>1024</v>
      </c>
      <c r="D171" s="6" t="s">
        <v>39</v>
      </c>
      <c r="E171" s="6" t="s">
        <v>1025</v>
      </c>
      <c r="F171" s="6" t="s">
        <v>25</v>
      </c>
      <c r="G171" s="6" t="s">
        <v>64</v>
      </c>
      <c r="H171" s="6" t="s">
        <v>1026</v>
      </c>
      <c r="I171" s="6" t="s">
        <v>1027</v>
      </c>
      <c r="J171" s="6">
        <v>51.0</v>
      </c>
      <c r="K171" s="6" t="s">
        <v>1028</v>
      </c>
      <c r="L171" s="6" t="s">
        <v>598</v>
      </c>
    </row>
    <row r="172" ht="23.25" customHeight="1">
      <c r="A172" s="6">
        <v>171.0</v>
      </c>
      <c r="B172" s="6" t="s">
        <v>21</v>
      </c>
      <c r="C172" s="6" t="s">
        <v>1029</v>
      </c>
      <c r="D172" s="6" t="s">
        <v>1030</v>
      </c>
      <c r="E172" s="6" t="s">
        <v>1031</v>
      </c>
      <c r="F172" s="6" t="s">
        <v>25</v>
      </c>
      <c r="G172" s="6" t="s">
        <v>64</v>
      </c>
      <c r="H172" s="6" t="s">
        <v>1032</v>
      </c>
      <c r="I172" s="6" t="s">
        <v>1027</v>
      </c>
      <c r="J172" s="6">
        <v>65.0</v>
      </c>
      <c r="K172" s="6" t="s">
        <v>1033</v>
      </c>
      <c r="L172" s="6" t="s">
        <v>598</v>
      </c>
    </row>
    <row r="173" ht="23.25" customHeight="1">
      <c r="A173" s="6">
        <v>172.0</v>
      </c>
      <c r="B173" s="6" t="s">
        <v>21</v>
      </c>
      <c r="C173" s="6" t="s">
        <v>45</v>
      </c>
      <c r="D173" s="6" t="s">
        <v>46</v>
      </c>
      <c r="E173" s="6" t="s">
        <v>47</v>
      </c>
      <c r="F173" s="6" t="s">
        <v>25</v>
      </c>
      <c r="G173" s="6" t="s">
        <v>48</v>
      </c>
      <c r="H173" s="6" t="s">
        <v>42</v>
      </c>
      <c r="I173" s="6" t="s">
        <v>49</v>
      </c>
      <c r="J173" s="6">
        <v>1.0</v>
      </c>
      <c r="K173" s="6" t="s">
        <v>50</v>
      </c>
      <c r="L173" s="6" t="s">
        <v>30</v>
      </c>
    </row>
    <row r="174" ht="23.25" customHeight="1">
      <c r="A174" s="6">
        <v>173.0</v>
      </c>
      <c r="B174" s="6" t="s">
        <v>21</v>
      </c>
      <c r="C174" s="6" t="s">
        <v>220</v>
      </c>
      <c r="D174" s="6" t="s">
        <v>221</v>
      </c>
      <c r="E174" s="6" t="s">
        <v>222</v>
      </c>
      <c r="F174" s="6" t="s">
        <v>25</v>
      </c>
      <c r="G174" s="6" t="s">
        <v>64</v>
      </c>
      <c r="H174" s="6" t="s">
        <v>223</v>
      </c>
      <c r="I174" s="6" t="s">
        <v>224</v>
      </c>
      <c r="J174" s="6">
        <v>10.0</v>
      </c>
      <c r="K174" s="6" t="s">
        <v>225</v>
      </c>
      <c r="L174" s="6" t="s">
        <v>30</v>
      </c>
    </row>
    <row r="175" ht="23.25" customHeight="1">
      <c r="A175" s="6">
        <v>174.0</v>
      </c>
      <c r="B175" s="6" t="s">
        <v>21</v>
      </c>
      <c r="C175" s="6" t="s">
        <v>363</v>
      </c>
      <c r="D175" s="6" t="s">
        <v>364</v>
      </c>
      <c r="E175" s="6" t="s">
        <v>365</v>
      </c>
      <c r="F175" s="6" t="s">
        <v>25</v>
      </c>
      <c r="G175" s="6" t="s">
        <v>64</v>
      </c>
      <c r="H175" s="6" t="s">
        <v>366</v>
      </c>
      <c r="I175" s="6" t="s">
        <v>367</v>
      </c>
      <c r="J175" s="6">
        <v>20.0</v>
      </c>
      <c r="K175" s="6" t="s">
        <v>368</v>
      </c>
      <c r="L175" s="6" t="s">
        <v>30</v>
      </c>
    </row>
    <row r="176" ht="23.25" customHeight="1">
      <c r="A176" s="6">
        <v>175.0</v>
      </c>
      <c r="B176" s="6" t="s">
        <v>21</v>
      </c>
      <c r="C176" s="6" t="s">
        <v>127</v>
      </c>
      <c r="D176" s="6" t="s">
        <v>128</v>
      </c>
      <c r="E176" s="6" t="s">
        <v>129</v>
      </c>
      <c r="F176" s="6" t="s">
        <v>25</v>
      </c>
      <c r="G176" s="6" t="s">
        <v>64</v>
      </c>
      <c r="H176" s="6" t="s">
        <v>130</v>
      </c>
      <c r="I176" s="6" t="s">
        <v>131</v>
      </c>
      <c r="J176" s="6">
        <v>5.0</v>
      </c>
      <c r="K176" s="6" t="s">
        <v>98</v>
      </c>
      <c r="L176" s="6" t="s">
        <v>30</v>
      </c>
    </row>
    <row r="177" ht="23.25" customHeight="1">
      <c r="A177" s="6">
        <v>176.0</v>
      </c>
      <c r="B177" s="6" t="s">
        <v>21</v>
      </c>
      <c r="C177" s="6" t="s">
        <v>1034</v>
      </c>
      <c r="D177" s="6" t="s">
        <v>1035</v>
      </c>
      <c r="E177" s="6" t="s">
        <v>1036</v>
      </c>
      <c r="F177" s="6" t="s">
        <v>25</v>
      </c>
      <c r="G177" s="6" t="s">
        <v>64</v>
      </c>
      <c r="H177" s="6" t="s">
        <v>1037</v>
      </c>
      <c r="I177" s="6" t="s">
        <v>131</v>
      </c>
      <c r="J177" s="6">
        <v>32.0</v>
      </c>
      <c r="K177" s="6" t="s">
        <v>1038</v>
      </c>
      <c r="L177" s="6" t="s">
        <v>598</v>
      </c>
    </row>
    <row r="178" ht="23.25" customHeight="1">
      <c r="A178" s="6">
        <v>177.0</v>
      </c>
      <c r="B178" s="6" t="s">
        <v>21</v>
      </c>
      <c r="C178" s="6" t="s">
        <v>286</v>
      </c>
      <c r="D178" s="6" t="s">
        <v>39</v>
      </c>
      <c r="E178" s="6" t="s">
        <v>287</v>
      </c>
      <c r="F178" s="6" t="s">
        <v>25</v>
      </c>
      <c r="G178" s="6" t="s">
        <v>64</v>
      </c>
      <c r="H178" s="6" t="s">
        <v>288</v>
      </c>
      <c r="I178" s="6" t="s">
        <v>131</v>
      </c>
      <c r="J178" s="6">
        <v>14.0</v>
      </c>
      <c r="K178" s="6" t="s">
        <v>289</v>
      </c>
      <c r="L178" s="6" t="s">
        <v>30</v>
      </c>
    </row>
    <row r="179" ht="23.25" customHeight="1">
      <c r="A179" s="6">
        <v>178.0</v>
      </c>
      <c r="B179" s="6" t="s">
        <v>21</v>
      </c>
      <c r="C179" s="6" t="s">
        <v>471</v>
      </c>
      <c r="D179" s="6" t="s">
        <v>39</v>
      </c>
      <c r="E179" s="6" t="s">
        <v>472</v>
      </c>
      <c r="F179" s="6" t="s">
        <v>25</v>
      </c>
      <c r="G179" s="6" t="s">
        <v>64</v>
      </c>
      <c r="H179" s="6" t="s">
        <v>473</v>
      </c>
      <c r="I179" s="6" t="s">
        <v>474</v>
      </c>
      <c r="J179" s="6">
        <v>27.0</v>
      </c>
      <c r="K179" s="6" t="s">
        <v>475</v>
      </c>
      <c r="L179" s="6" t="s">
        <v>30</v>
      </c>
    </row>
    <row r="180" ht="23.25" customHeight="1">
      <c r="A180" s="6">
        <v>179.0</v>
      </c>
      <c r="B180" s="6" t="s">
        <v>21</v>
      </c>
      <c r="C180" s="6" t="s">
        <v>1039</v>
      </c>
      <c r="D180" s="6" t="s">
        <v>39</v>
      </c>
      <c r="E180" s="6" t="s">
        <v>1040</v>
      </c>
      <c r="F180" s="6" t="s">
        <v>25</v>
      </c>
      <c r="G180" s="6" t="s">
        <v>64</v>
      </c>
      <c r="H180" s="6" t="s">
        <v>1041</v>
      </c>
      <c r="I180" s="6" t="s">
        <v>1042</v>
      </c>
      <c r="J180" s="6">
        <v>35.0</v>
      </c>
      <c r="K180" s="6" t="s">
        <v>1043</v>
      </c>
      <c r="L180" s="6" t="s">
        <v>598</v>
      </c>
    </row>
    <row r="181" ht="23.25" customHeight="1">
      <c r="A181" s="6">
        <v>180.0</v>
      </c>
      <c r="B181" s="6" t="s">
        <v>21</v>
      </c>
      <c r="C181" s="6" t="s">
        <v>1044</v>
      </c>
      <c r="D181" s="6" t="s">
        <v>39</v>
      </c>
      <c r="E181" s="6" t="s">
        <v>1045</v>
      </c>
      <c r="F181" s="6" t="s">
        <v>25</v>
      </c>
      <c r="G181" s="6" t="s">
        <v>64</v>
      </c>
      <c r="H181" s="6" t="s">
        <v>1046</v>
      </c>
      <c r="I181" s="6" t="s">
        <v>1042</v>
      </c>
      <c r="J181" s="6">
        <v>40.0</v>
      </c>
      <c r="K181" s="6" t="s">
        <v>1047</v>
      </c>
      <c r="L181" s="6" t="s">
        <v>598</v>
      </c>
    </row>
    <row r="182" ht="23.25" customHeight="1">
      <c r="A182" s="6">
        <v>181.0</v>
      </c>
      <c r="B182" s="6" t="s">
        <v>88</v>
      </c>
      <c r="C182" s="6" t="s">
        <v>1048</v>
      </c>
      <c r="D182" s="6" t="s">
        <v>39</v>
      </c>
      <c r="E182" s="6" t="s">
        <v>1049</v>
      </c>
      <c r="F182" s="6" t="s">
        <v>25</v>
      </c>
      <c r="G182" s="6" t="s">
        <v>64</v>
      </c>
      <c r="H182" s="6" t="s">
        <v>1050</v>
      </c>
      <c r="I182" s="6" t="s">
        <v>54</v>
      </c>
      <c r="J182" s="6">
        <v>61.0</v>
      </c>
      <c r="K182" s="6" t="s">
        <v>1051</v>
      </c>
      <c r="L182" s="6" t="s">
        <v>598</v>
      </c>
    </row>
    <row r="183" ht="23.25" customHeight="1">
      <c r="A183" s="6">
        <v>182.0</v>
      </c>
      <c r="B183" s="6" t="s">
        <v>88</v>
      </c>
      <c r="C183" s="6" t="s">
        <v>1052</v>
      </c>
      <c r="D183" s="6" t="s">
        <v>1053</v>
      </c>
      <c r="E183" s="6" t="s">
        <v>1054</v>
      </c>
      <c r="F183" s="6" t="s">
        <v>25</v>
      </c>
      <c r="G183" s="6" t="s">
        <v>64</v>
      </c>
      <c r="H183" s="6" t="s">
        <v>1055</v>
      </c>
      <c r="I183" s="6" t="s">
        <v>315</v>
      </c>
      <c r="J183" s="6">
        <v>194.0</v>
      </c>
      <c r="K183" s="6" t="s">
        <v>1056</v>
      </c>
      <c r="L183" s="6" t="s">
        <v>598</v>
      </c>
    </row>
    <row r="184" ht="23.25" customHeight="1">
      <c r="A184" s="6">
        <v>183.0</v>
      </c>
      <c r="B184" s="6" t="s">
        <v>88</v>
      </c>
      <c r="C184" s="6" t="s">
        <v>337</v>
      </c>
      <c r="D184" s="6" t="s">
        <v>338</v>
      </c>
      <c r="E184" s="6" t="s">
        <v>339</v>
      </c>
      <c r="F184" s="6" t="s">
        <v>25</v>
      </c>
      <c r="G184" s="6" t="s">
        <v>64</v>
      </c>
      <c r="H184" s="6" t="s">
        <v>340</v>
      </c>
      <c r="I184" s="6" t="s">
        <v>229</v>
      </c>
      <c r="J184" s="6">
        <v>18.0</v>
      </c>
      <c r="K184" s="6" t="s">
        <v>341</v>
      </c>
      <c r="L184" s="6" t="s">
        <v>30</v>
      </c>
    </row>
    <row r="185" ht="23.25" customHeight="1">
      <c r="A185" s="6">
        <v>184.0</v>
      </c>
      <c r="B185" s="6" t="s">
        <v>88</v>
      </c>
      <c r="C185" s="6" t="s">
        <v>1057</v>
      </c>
      <c r="D185" s="6" t="s">
        <v>1058</v>
      </c>
      <c r="E185" s="6" t="s">
        <v>1059</v>
      </c>
      <c r="F185" s="6" t="s">
        <v>25</v>
      </c>
      <c r="G185" s="6" t="s">
        <v>64</v>
      </c>
      <c r="H185" s="6" t="s">
        <v>1060</v>
      </c>
      <c r="I185" s="6" t="s">
        <v>229</v>
      </c>
      <c r="J185" s="6">
        <v>51.0</v>
      </c>
      <c r="K185" s="6" t="s">
        <v>357</v>
      </c>
      <c r="L185" s="6" t="s">
        <v>598</v>
      </c>
    </row>
    <row r="186" ht="23.25" customHeight="1">
      <c r="A186" s="6">
        <v>185.0</v>
      </c>
      <c r="B186" s="6" t="s">
        <v>88</v>
      </c>
      <c r="C186" s="6" t="s">
        <v>346</v>
      </c>
      <c r="D186" s="6" t="s">
        <v>347</v>
      </c>
      <c r="E186" s="6" t="s">
        <v>348</v>
      </c>
      <c r="F186" s="6" t="s">
        <v>25</v>
      </c>
      <c r="G186" s="6" t="s">
        <v>64</v>
      </c>
      <c r="H186" s="6" t="s">
        <v>349</v>
      </c>
      <c r="I186" s="6" t="s">
        <v>350</v>
      </c>
      <c r="J186" s="6">
        <v>19.0</v>
      </c>
      <c r="K186" s="6" t="s">
        <v>351</v>
      </c>
      <c r="L186" s="6" t="s">
        <v>30</v>
      </c>
    </row>
    <row r="187" ht="23.25" customHeight="1">
      <c r="A187" s="6">
        <v>186.0</v>
      </c>
      <c r="B187" s="6" t="s">
        <v>88</v>
      </c>
      <c r="C187" s="6" t="s">
        <v>1061</v>
      </c>
      <c r="D187" s="6" t="s">
        <v>1062</v>
      </c>
      <c r="E187" s="6" t="s">
        <v>1063</v>
      </c>
      <c r="F187" s="6" t="s">
        <v>25</v>
      </c>
      <c r="G187" s="6" t="s">
        <v>64</v>
      </c>
      <c r="H187" s="6" t="s">
        <v>1064</v>
      </c>
      <c r="I187" s="6" t="s">
        <v>350</v>
      </c>
      <c r="J187" s="6">
        <v>116.0</v>
      </c>
      <c r="K187" s="6" t="s">
        <v>853</v>
      </c>
      <c r="L187" s="6" t="s">
        <v>598</v>
      </c>
    </row>
    <row r="188" ht="23.25" customHeight="1">
      <c r="A188" s="6">
        <v>187.0</v>
      </c>
      <c r="B188" s="6" t="s">
        <v>88</v>
      </c>
      <c r="C188" s="6" t="s">
        <v>1065</v>
      </c>
      <c r="D188" s="6" t="s">
        <v>1066</v>
      </c>
      <c r="E188" s="6" t="s">
        <v>1067</v>
      </c>
      <c r="F188" s="6" t="s">
        <v>25</v>
      </c>
      <c r="G188" s="6" t="s">
        <v>64</v>
      </c>
      <c r="H188" s="6" t="s">
        <v>1068</v>
      </c>
      <c r="I188" s="6" t="s">
        <v>171</v>
      </c>
      <c r="J188" s="6">
        <v>57.0</v>
      </c>
      <c r="K188" s="6" t="s">
        <v>1069</v>
      </c>
      <c r="L188" s="6" t="s">
        <v>30</v>
      </c>
    </row>
    <row r="189" ht="23.25" customHeight="1">
      <c r="A189" s="6">
        <v>188.0</v>
      </c>
      <c r="B189" s="6" t="s">
        <v>88</v>
      </c>
      <c r="C189" s="6" t="s">
        <v>1070</v>
      </c>
      <c r="D189" s="6" t="s">
        <v>1071</v>
      </c>
      <c r="E189" s="6" t="s">
        <v>1072</v>
      </c>
      <c r="F189" s="6" t="s">
        <v>25</v>
      </c>
      <c r="G189" s="6" t="s">
        <v>64</v>
      </c>
      <c r="H189" s="6" t="s">
        <v>1073</v>
      </c>
      <c r="I189" s="6" t="s">
        <v>171</v>
      </c>
      <c r="J189" s="6">
        <v>55.0</v>
      </c>
      <c r="K189" s="6" t="s">
        <v>853</v>
      </c>
      <c r="L189" s="6" t="s">
        <v>30</v>
      </c>
    </row>
    <row r="190" ht="23.25" customHeight="1">
      <c r="A190" s="6">
        <v>189.0</v>
      </c>
      <c r="B190" s="6" t="s">
        <v>88</v>
      </c>
      <c r="C190" s="6" t="s">
        <v>272</v>
      </c>
      <c r="D190" s="6" t="s">
        <v>39</v>
      </c>
      <c r="E190" s="6" t="s">
        <v>273</v>
      </c>
      <c r="F190" s="6" t="s">
        <v>25</v>
      </c>
      <c r="G190" s="6" t="s">
        <v>64</v>
      </c>
      <c r="H190" s="6" t="s">
        <v>274</v>
      </c>
      <c r="I190" s="6" t="s">
        <v>136</v>
      </c>
      <c r="J190" s="6">
        <v>13.0</v>
      </c>
      <c r="K190" s="6" t="s">
        <v>275</v>
      </c>
      <c r="L190" s="6" t="s">
        <v>30</v>
      </c>
    </row>
    <row r="191" ht="23.25" customHeight="1">
      <c r="A191" s="6">
        <v>190.0</v>
      </c>
      <c r="B191" s="6" t="s">
        <v>88</v>
      </c>
      <c r="C191" s="6" t="s">
        <v>369</v>
      </c>
      <c r="D191" s="6" t="s">
        <v>370</v>
      </c>
      <c r="E191" s="6" t="s">
        <v>371</v>
      </c>
      <c r="F191" s="6" t="s">
        <v>25</v>
      </c>
      <c r="G191" s="6" t="s">
        <v>64</v>
      </c>
      <c r="H191" s="6" t="s">
        <v>372</v>
      </c>
      <c r="I191" s="6" t="s">
        <v>136</v>
      </c>
      <c r="J191" s="6">
        <v>20.0</v>
      </c>
      <c r="K191" s="6" t="s">
        <v>373</v>
      </c>
      <c r="L191" s="6" t="s">
        <v>30</v>
      </c>
    </row>
    <row r="192" ht="23.25" customHeight="1">
      <c r="A192" s="6">
        <v>191.0</v>
      </c>
      <c r="B192" s="6" t="s">
        <v>88</v>
      </c>
      <c r="C192" s="6" t="s">
        <v>352</v>
      </c>
      <c r="D192" s="6" t="s">
        <v>353</v>
      </c>
      <c r="E192" s="6" t="s">
        <v>354</v>
      </c>
      <c r="F192" s="6" t="s">
        <v>25</v>
      </c>
      <c r="G192" s="6" t="s">
        <v>64</v>
      </c>
      <c r="H192" s="6" t="s">
        <v>355</v>
      </c>
      <c r="I192" s="6" t="s">
        <v>356</v>
      </c>
      <c r="J192" s="6">
        <v>19.0</v>
      </c>
      <c r="K192" s="6" t="s">
        <v>357</v>
      </c>
      <c r="L192" s="6" t="s">
        <v>30</v>
      </c>
    </row>
    <row r="193" ht="23.25" customHeight="1">
      <c r="A193" s="6">
        <v>192.0</v>
      </c>
      <c r="B193" s="6" t="s">
        <v>88</v>
      </c>
      <c r="C193" s="6" t="s">
        <v>1074</v>
      </c>
      <c r="D193" s="6" t="s">
        <v>1075</v>
      </c>
      <c r="E193" s="6" t="s">
        <v>1076</v>
      </c>
      <c r="F193" s="6" t="s">
        <v>25</v>
      </c>
      <c r="G193" s="6" t="s">
        <v>64</v>
      </c>
      <c r="H193" s="6" t="s">
        <v>1077</v>
      </c>
      <c r="I193" s="6" t="s">
        <v>480</v>
      </c>
      <c r="J193" s="6">
        <v>52.0</v>
      </c>
      <c r="K193" s="6" t="s">
        <v>357</v>
      </c>
      <c r="L193" s="6" t="s">
        <v>598</v>
      </c>
    </row>
    <row r="194" ht="23.25" customHeight="1">
      <c r="A194" s="6">
        <v>193.0</v>
      </c>
      <c r="B194" s="6" t="s">
        <v>88</v>
      </c>
      <c r="C194" s="6" t="s">
        <v>476</v>
      </c>
      <c r="D194" s="6" t="s">
        <v>477</v>
      </c>
      <c r="E194" s="6" t="s">
        <v>478</v>
      </c>
      <c r="F194" s="6" t="s">
        <v>25</v>
      </c>
      <c r="G194" s="6" t="s">
        <v>64</v>
      </c>
      <c r="H194" s="6" t="s">
        <v>479</v>
      </c>
      <c r="I194" s="6" t="s">
        <v>480</v>
      </c>
      <c r="J194" s="6">
        <v>28.0</v>
      </c>
      <c r="K194" s="6" t="s">
        <v>357</v>
      </c>
      <c r="L194" s="6" t="s">
        <v>30</v>
      </c>
    </row>
    <row r="195" ht="23.25" customHeight="1">
      <c r="A195" s="6">
        <v>194.0</v>
      </c>
      <c r="B195" s="6" t="s">
        <v>88</v>
      </c>
      <c r="C195" s="6" t="s">
        <v>1078</v>
      </c>
      <c r="D195" s="6" t="s">
        <v>39</v>
      </c>
      <c r="E195" s="6" t="s">
        <v>1079</v>
      </c>
      <c r="F195" s="6" t="s">
        <v>25</v>
      </c>
      <c r="G195" s="6" t="s">
        <v>64</v>
      </c>
      <c r="H195" s="6" t="s">
        <v>1080</v>
      </c>
      <c r="I195" s="6" t="s">
        <v>151</v>
      </c>
      <c r="J195" s="6">
        <v>30.0</v>
      </c>
      <c r="K195" s="6" t="s">
        <v>853</v>
      </c>
      <c r="L195" s="6" t="s">
        <v>598</v>
      </c>
    </row>
    <row r="196" ht="23.25" customHeight="1">
      <c r="A196" s="6">
        <v>195.0</v>
      </c>
      <c r="B196" s="6" t="s">
        <v>88</v>
      </c>
      <c r="C196" s="6" t="s">
        <v>1081</v>
      </c>
      <c r="D196" s="6" t="s">
        <v>39</v>
      </c>
      <c r="E196" s="6" t="s">
        <v>1082</v>
      </c>
      <c r="F196" s="6" t="s">
        <v>25</v>
      </c>
      <c r="G196" s="6" t="s">
        <v>64</v>
      </c>
      <c r="H196" s="6" t="s">
        <v>1083</v>
      </c>
      <c r="I196" s="6" t="s">
        <v>151</v>
      </c>
      <c r="J196" s="6">
        <v>87.0</v>
      </c>
      <c r="K196" s="6" t="s">
        <v>1084</v>
      </c>
      <c r="L196" s="6" t="s">
        <v>598</v>
      </c>
    </row>
    <row r="197" ht="23.25" customHeight="1">
      <c r="A197" s="6">
        <v>196.0</v>
      </c>
      <c r="B197" s="6" t="s">
        <v>88</v>
      </c>
      <c r="C197" s="6" t="s">
        <v>1085</v>
      </c>
      <c r="D197" s="6" t="s">
        <v>1086</v>
      </c>
      <c r="E197" s="6" t="s">
        <v>1087</v>
      </c>
      <c r="F197" s="6" t="s">
        <v>25</v>
      </c>
      <c r="G197" s="6" t="s">
        <v>64</v>
      </c>
      <c r="H197" s="6" t="s">
        <v>1088</v>
      </c>
      <c r="I197" s="6" t="s">
        <v>1089</v>
      </c>
      <c r="J197" s="6">
        <v>124.0</v>
      </c>
      <c r="K197" s="6" t="s">
        <v>1090</v>
      </c>
      <c r="L197" s="6" t="s">
        <v>598</v>
      </c>
    </row>
    <row r="198" ht="23.25" customHeight="1">
      <c r="A198" s="6">
        <v>197.0</v>
      </c>
      <c r="B198" s="6" t="s">
        <v>88</v>
      </c>
      <c r="C198" s="6" t="s">
        <v>1091</v>
      </c>
      <c r="D198" s="6" t="s">
        <v>1092</v>
      </c>
      <c r="E198" s="6" t="s">
        <v>1093</v>
      </c>
      <c r="F198" s="6" t="s">
        <v>25</v>
      </c>
      <c r="G198" s="6" t="s">
        <v>64</v>
      </c>
      <c r="H198" s="6" t="s">
        <v>1094</v>
      </c>
      <c r="I198" s="6" t="s">
        <v>1089</v>
      </c>
      <c r="J198" s="6">
        <v>44.0</v>
      </c>
      <c r="K198" s="6" t="s">
        <v>1095</v>
      </c>
      <c r="L198" s="6" t="s">
        <v>30</v>
      </c>
    </row>
    <row r="199" ht="23.25" customHeight="1">
      <c r="A199" s="6">
        <v>198.0</v>
      </c>
      <c r="B199" s="6" t="s">
        <v>21</v>
      </c>
      <c r="C199" s="6" t="s">
        <v>1096</v>
      </c>
      <c r="D199" s="6" t="s">
        <v>1097</v>
      </c>
      <c r="E199" s="6" t="s">
        <v>1098</v>
      </c>
      <c r="F199" s="6" t="s">
        <v>25</v>
      </c>
      <c r="G199" s="6" t="s">
        <v>64</v>
      </c>
      <c r="H199" s="6" t="s">
        <v>1099</v>
      </c>
      <c r="I199" s="6" t="s">
        <v>54</v>
      </c>
      <c r="J199" s="6">
        <v>119.0</v>
      </c>
      <c r="K199" s="6" t="s">
        <v>1100</v>
      </c>
      <c r="L199" s="6" t="s">
        <v>598</v>
      </c>
    </row>
    <row r="200" ht="23.25" customHeight="1">
      <c r="A200" s="6">
        <v>199.0</v>
      </c>
      <c r="B200" s="6" t="s">
        <v>21</v>
      </c>
      <c r="C200" s="6" t="s">
        <v>1101</v>
      </c>
      <c r="D200" s="6" t="s">
        <v>39</v>
      </c>
      <c r="E200" s="6" t="s">
        <v>1102</v>
      </c>
      <c r="F200" s="6" t="s">
        <v>25</v>
      </c>
      <c r="G200" s="6" t="s">
        <v>64</v>
      </c>
      <c r="H200" s="6" t="s">
        <v>1103</v>
      </c>
      <c r="I200" s="6" t="s">
        <v>54</v>
      </c>
      <c r="J200" s="6">
        <v>43.0</v>
      </c>
      <c r="K200" s="6" t="s">
        <v>1104</v>
      </c>
      <c r="L200" s="6" t="s">
        <v>598</v>
      </c>
    </row>
    <row r="201" ht="23.25" customHeight="1">
      <c r="A201" s="6">
        <v>200.0</v>
      </c>
      <c r="B201" s="6" t="s">
        <v>21</v>
      </c>
      <c r="C201" s="6" t="s">
        <v>51</v>
      </c>
      <c r="D201" s="6" t="s">
        <v>39</v>
      </c>
      <c r="E201" s="6" t="s">
        <v>52</v>
      </c>
      <c r="F201" s="6" t="s">
        <v>25</v>
      </c>
      <c r="G201" s="6" t="s">
        <v>53</v>
      </c>
      <c r="H201" s="6" t="s">
        <v>42</v>
      </c>
      <c r="I201" s="6" t="s">
        <v>54</v>
      </c>
      <c r="J201" s="6">
        <v>1.0</v>
      </c>
      <c r="K201" s="6" t="s">
        <v>44</v>
      </c>
      <c r="L201" s="6" t="s">
        <v>30</v>
      </c>
    </row>
    <row r="202" ht="23.25" customHeight="1">
      <c r="A202" s="6">
        <v>201.0</v>
      </c>
      <c r="B202" s="6" t="s">
        <v>21</v>
      </c>
      <c r="C202" s="6" t="s">
        <v>311</v>
      </c>
      <c r="D202" s="6" t="s">
        <v>312</v>
      </c>
      <c r="E202" s="6" t="s">
        <v>313</v>
      </c>
      <c r="F202" s="6" t="s">
        <v>25</v>
      </c>
      <c r="G202" s="6" t="s">
        <v>64</v>
      </c>
      <c r="H202" s="6" t="s">
        <v>314</v>
      </c>
      <c r="I202" s="6" t="s">
        <v>315</v>
      </c>
      <c r="J202" s="6">
        <v>17.0</v>
      </c>
      <c r="K202" s="6" t="s">
        <v>316</v>
      </c>
      <c r="L202" s="6" t="s">
        <v>30</v>
      </c>
    </row>
    <row r="203" ht="23.25" customHeight="1">
      <c r="A203" s="6">
        <v>202.0</v>
      </c>
      <c r="B203" s="6" t="s">
        <v>21</v>
      </c>
      <c r="C203" s="6" t="s">
        <v>226</v>
      </c>
      <c r="D203" s="6" t="s">
        <v>39</v>
      </c>
      <c r="E203" s="6" t="s">
        <v>227</v>
      </c>
      <c r="F203" s="6" t="s">
        <v>25</v>
      </c>
      <c r="G203" s="6" t="s">
        <v>64</v>
      </c>
      <c r="H203" s="6" t="s">
        <v>228</v>
      </c>
      <c r="I203" s="6" t="s">
        <v>229</v>
      </c>
      <c r="J203" s="6">
        <v>10.0</v>
      </c>
      <c r="K203" s="6" t="s">
        <v>230</v>
      </c>
      <c r="L203" s="6" t="s">
        <v>30</v>
      </c>
    </row>
    <row r="204" ht="23.25" customHeight="1">
      <c r="A204" s="6">
        <v>203.0</v>
      </c>
      <c r="B204" s="6" t="s">
        <v>21</v>
      </c>
      <c r="C204" s="6" t="s">
        <v>1105</v>
      </c>
      <c r="D204" s="6" t="s">
        <v>1106</v>
      </c>
      <c r="E204" s="6" t="s">
        <v>1107</v>
      </c>
      <c r="F204" s="6" t="s">
        <v>25</v>
      </c>
      <c r="G204" s="6" t="s">
        <v>64</v>
      </c>
      <c r="H204" s="6" t="s">
        <v>1108</v>
      </c>
      <c r="I204" s="6" t="s">
        <v>229</v>
      </c>
      <c r="J204" s="6">
        <v>54.0</v>
      </c>
      <c r="K204" s="6" t="s">
        <v>1109</v>
      </c>
      <c r="L204" s="6" t="s">
        <v>598</v>
      </c>
    </row>
    <row r="205" ht="23.25" customHeight="1">
      <c r="A205" s="6">
        <v>204.0</v>
      </c>
      <c r="B205" s="6" t="s">
        <v>21</v>
      </c>
      <c r="C205" s="6" t="s">
        <v>231</v>
      </c>
      <c r="D205" s="6" t="s">
        <v>232</v>
      </c>
      <c r="E205" s="6" t="s">
        <v>233</v>
      </c>
      <c r="F205" s="6" t="s">
        <v>25</v>
      </c>
      <c r="G205" s="6" t="s">
        <v>64</v>
      </c>
      <c r="H205" s="6" t="s">
        <v>234</v>
      </c>
      <c r="I205" s="6" t="s">
        <v>235</v>
      </c>
      <c r="J205" s="6">
        <v>10.0</v>
      </c>
      <c r="K205" s="6" t="s">
        <v>236</v>
      </c>
      <c r="L205" s="6" t="s">
        <v>30</v>
      </c>
    </row>
    <row r="206" ht="23.25" customHeight="1">
      <c r="A206" s="6">
        <v>205.0</v>
      </c>
      <c r="B206" s="6" t="s">
        <v>21</v>
      </c>
      <c r="C206" s="6" t="s">
        <v>1110</v>
      </c>
      <c r="D206" s="6" t="s">
        <v>39</v>
      </c>
      <c r="E206" s="6" t="s">
        <v>1111</v>
      </c>
      <c r="F206" s="6" t="s">
        <v>25</v>
      </c>
      <c r="G206" s="6" t="s">
        <v>64</v>
      </c>
      <c r="H206" s="6" t="s">
        <v>1112</v>
      </c>
      <c r="I206" s="6" t="s">
        <v>350</v>
      </c>
      <c r="J206" s="6">
        <v>98.0</v>
      </c>
      <c r="K206" s="6" t="s">
        <v>1113</v>
      </c>
      <c r="L206" s="6" t="s">
        <v>598</v>
      </c>
    </row>
    <row r="207" ht="23.25" customHeight="1">
      <c r="A207" s="6">
        <v>206.0</v>
      </c>
      <c r="B207" s="6" t="s">
        <v>21</v>
      </c>
      <c r="C207" s="6" t="s">
        <v>1114</v>
      </c>
      <c r="D207" s="6" t="s">
        <v>39</v>
      </c>
      <c r="E207" s="6" t="s">
        <v>1115</v>
      </c>
      <c r="F207" s="6" t="s">
        <v>25</v>
      </c>
      <c r="G207" s="6" t="s">
        <v>64</v>
      </c>
      <c r="H207" s="6" t="s">
        <v>1116</v>
      </c>
      <c r="I207" s="6" t="s">
        <v>1117</v>
      </c>
      <c r="J207" s="6">
        <v>37.0</v>
      </c>
      <c r="K207" s="6" t="s">
        <v>1118</v>
      </c>
      <c r="L207" s="6" t="s">
        <v>30</v>
      </c>
    </row>
    <row r="208" ht="23.25" customHeight="1">
      <c r="A208" s="6">
        <v>207.0</v>
      </c>
      <c r="B208" s="6" t="s">
        <v>21</v>
      </c>
      <c r="C208" s="6" t="s">
        <v>1119</v>
      </c>
      <c r="D208" s="6" t="s">
        <v>243</v>
      </c>
      <c r="E208" s="6" t="s">
        <v>1120</v>
      </c>
      <c r="F208" s="6" t="s">
        <v>25</v>
      </c>
      <c r="G208" s="6" t="s">
        <v>64</v>
      </c>
      <c r="H208" s="6" t="s">
        <v>1121</v>
      </c>
      <c r="I208" s="6" t="s">
        <v>171</v>
      </c>
      <c r="J208" s="6">
        <v>57.0</v>
      </c>
      <c r="K208" s="6" t="s">
        <v>1122</v>
      </c>
      <c r="L208" s="6" t="s">
        <v>598</v>
      </c>
    </row>
    <row r="209" ht="23.25" customHeight="1">
      <c r="A209" s="6">
        <v>208.0</v>
      </c>
      <c r="B209" s="6" t="s">
        <v>21</v>
      </c>
      <c r="C209" s="6" t="s">
        <v>397</v>
      </c>
      <c r="D209" s="6" t="s">
        <v>39</v>
      </c>
      <c r="E209" s="6" t="s">
        <v>398</v>
      </c>
      <c r="F209" s="6" t="s">
        <v>25</v>
      </c>
      <c r="G209" s="6" t="s">
        <v>64</v>
      </c>
      <c r="H209" s="6" t="s">
        <v>399</v>
      </c>
      <c r="I209" s="6" t="s">
        <v>171</v>
      </c>
      <c r="J209" s="6">
        <v>21.0</v>
      </c>
      <c r="K209" s="6" t="s">
        <v>400</v>
      </c>
      <c r="L209" s="6" t="s">
        <v>30</v>
      </c>
    </row>
    <row r="210" ht="23.25" customHeight="1">
      <c r="A210" s="6">
        <v>209.0</v>
      </c>
      <c r="B210" s="6" t="s">
        <v>21</v>
      </c>
      <c r="C210" s="6" t="s">
        <v>168</v>
      </c>
      <c r="D210" s="6" t="s">
        <v>39</v>
      </c>
      <c r="E210" s="6" t="s">
        <v>169</v>
      </c>
      <c r="F210" s="6" t="s">
        <v>25</v>
      </c>
      <c r="G210" s="6" t="s">
        <v>64</v>
      </c>
      <c r="H210" s="6" t="s">
        <v>170</v>
      </c>
      <c r="I210" s="6" t="s">
        <v>171</v>
      </c>
      <c r="J210" s="6">
        <v>7.0</v>
      </c>
      <c r="K210" s="6" t="s">
        <v>98</v>
      </c>
      <c r="L210" s="6" t="s">
        <v>30</v>
      </c>
    </row>
    <row r="211" ht="23.25" customHeight="1">
      <c r="A211" s="6">
        <v>210.0</v>
      </c>
      <c r="B211" s="6" t="s">
        <v>21</v>
      </c>
      <c r="C211" s="6" t="s">
        <v>132</v>
      </c>
      <c r="D211" s="6" t="s">
        <v>133</v>
      </c>
      <c r="E211" s="6" t="s">
        <v>134</v>
      </c>
      <c r="F211" s="6" t="s">
        <v>25</v>
      </c>
      <c r="G211" s="6" t="s">
        <v>64</v>
      </c>
      <c r="H211" s="6" t="s">
        <v>135</v>
      </c>
      <c r="I211" s="6" t="s">
        <v>136</v>
      </c>
      <c r="J211" s="6">
        <v>5.0</v>
      </c>
      <c r="K211" s="6" t="s">
        <v>137</v>
      </c>
      <c r="L211" s="6" t="s">
        <v>30</v>
      </c>
    </row>
    <row r="212" ht="23.25" customHeight="1">
      <c r="A212" s="6">
        <v>211.0</v>
      </c>
      <c r="B212" s="6" t="s">
        <v>21</v>
      </c>
      <c r="C212" s="6" t="s">
        <v>1123</v>
      </c>
      <c r="D212" s="6" t="s">
        <v>1124</v>
      </c>
      <c r="E212" s="6" t="s">
        <v>1125</v>
      </c>
      <c r="F212" s="6" t="s">
        <v>25</v>
      </c>
      <c r="G212" s="6" t="s">
        <v>64</v>
      </c>
      <c r="H212" s="6" t="s">
        <v>1126</v>
      </c>
      <c r="I212" s="6" t="s">
        <v>480</v>
      </c>
      <c r="J212" s="6">
        <v>64.0</v>
      </c>
      <c r="K212" s="6" t="s">
        <v>1127</v>
      </c>
      <c r="L212" s="6" t="s">
        <v>598</v>
      </c>
    </row>
    <row r="213" ht="23.25" customHeight="1">
      <c r="A213" s="6">
        <v>212.0</v>
      </c>
      <c r="B213" s="6" t="s">
        <v>21</v>
      </c>
      <c r="C213" s="6" t="s">
        <v>148</v>
      </c>
      <c r="D213" s="6" t="s">
        <v>39</v>
      </c>
      <c r="E213" s="6" t="s">
        <v>149</v>
      </c>
      <c r="F213" s="6" t="s">
        <v>25</v>
      </c>
      <c r="G213" s="6" t="s">
        <v>64</v>
      </c>
      <c r="H213" s="6" t="s">
        <v>150</v>
      </c>
      <c r="I213" s="6" t="s">
        <v>151</v>
      </c>
      <c r="J213" s="6">
        <v>6.0</v>
      </c>
      <c r="K213" s="6" t="s">
        <v>98</v>
      </c>
      <c r="L213" s="6" t="s">
        <v>30</v>
      </c>
    </row>
    <row r="214" ht="23.25" customHeight="1">
      <c r="A214" s="6">
        <v>213.0</v>
      </c>
      <c r="B214" s="6" t="s">
        <v>21</v>
      </c>
      <c r="C214" s="6" t="s">
        <v>172</v>
      </c>
      <c r="D214" s="6" t="s">
        <v>39</v>
      </c>
      <c r="E214" s="6" t="s">
        <v>173</v>
      </c>
      <c r="F214" s="6" t="s">
        <v>25</v>
      </c>
      <c r="G214" s="6" t="s">
        <v>64</v>
      </c>
      <c r="H214" s="6" t="s">
        <v>174</v>
      </c>
      <c r="I214" s="6" t="s">
        <v>151</v>
      </c>
      <c r="J214" s="6">
        <v>7.0</v>
      </c>
      <c r="K214" s="6" t="s">
        <v>98</v>
      </c>
      <c r="L214" s="6" t="s">
        <v>30</v>
      </c>
    </row>
    <row r="215" ht="23.25" customHeight="1">
      <c r="A215" s="6">
        <v>214.0</v>
      </c>
      <c r="B215" s="6" t="s">
        <v>21</v>
      </c>
      <c r="C215" s="6" t="s">
        <v>1128</v>
      </c>
      <c r="D215" s="6" t="s">
        <v>39</v>
      </c>
      <c r="E215" s="6" t="s">
        <v>1129</v>
      </c>
      <c r="F215" s="6" t="s">
        <v>25</v>
      </c>
      <c r="G215" s="6" t="s">
        <v>64</v>
      </c>
      <c r="H215" s="6" t="s">
        <v>1130</v>
      </c>
      <c r="I215" s="6" t="s">
        <v>1089</v>
      </c>
      <c r="J215" s="6">
        <v>86.0</v>
      </c>
      <c r="K215" s="6" t="s">
        <v>1131</v>
      </c>
      <c r="L215" s="6" t="s">
        <v>598</v>
      </c>
    </row>
    <row r="216" ht="23.25" customHeight="1">
      <c r="A216" s="6">
        <v>215.0</v>
      </c>
      <c r="B216" s="6" t="s">
        <v>88</v>
      </c>
      <c r="C216" s="6" t="s">
        <v>1132</v>
      </c>
      <c r="D216" s="6" t="s">
        <v>1133</v>
      </c>
      <c r="E216" s="6" t="s">
        <v>1134</v>
      </c>
      <c r="F216" s="6" t="s">
        <v>25</v>
      </c>
      <c r="G216" s="6" t="s">
        <v>64</v>
      </c>
      <c r="H216" s="6" t="s">
        <v>1135</v>
      </c>
      <c r="I216" s="6" t="s">
        <v>326</v>
      </c>
      <c r="J216" s="6">
        <v>152.0</v>
      </c>
      <c r="K216" s="6" t="s">
        <v>853</v>
      </c>
      <c r="L216" s="6" t="s">
        <v>598</v>
      </c>
    </row>
    <row r="217" ht="23.25" customHeight="1">
      <c r="A217" s="6">
        <v>216.0</v>
      </c>
      <c r="B217" s="6" t="s">
        <v>88</v>
      </c>
      <c r="C217" s="6" t="s">
        <v>1136</v>
      </c>
      <c r="D217" s="6" t="s">
        <v>39</v>
      </c>
      <c r="E217" s="6" t="s">
        <v>1137</v>
      </c>
      <c r="F217" s="6" t="s">
        <v>25</v>
      </c>
      <c r="G217" s="6" t="s">
        <v>64</v>
      </c>
      <c r="H217" s="6" t="s">
        <v>1138</v>
      </c>
      <c r="I217" s="6" t="s">
        <v>434</v>
      </c>
      <c r="J217" s="6">
        <v>69.0</v>
      </c>
      <c r="K217" s="6" t="s">
        <v>853</v>
      </c>
      <c r="L217" s="6" t="s">
        <v>30</v>
      </c>
    </row>
    <row r="218" ht="23.25" customHeight="1">
      <c r="A218" s="6">
        <v>217.0</v>
      </c>
      <c r="B218" s="6" t="s">
        <v>88</v>
      </c>
      <c r="C218" s="6" t="s">
        <v>1139</v>
      </c>
      <c r="D218" s="6" t="s">
        <v>1140</v>
      </c>
      <c r="E218" s="6" t="s">
        <v>1141</v>
      </c>
      <c r="F218" s="6" t="s">
        <v>25</v>
      </c>
      <c r="G218" s="6" t="s">
        <v>64</v>
      </c>
      <c r="H218" s="6" t="s">
        <v>1142</v>
      </c>
      <c r="I218" s="6" t="s">
        <v>434</v>
      </c>
      <c r="J218" s="6">
        <v>81.0</v>
      </c>
      <c r="K218" s="6" t="s">
        <v>876</v>
      </c>
      <c r="L218" s="6" t="s">
        <v>598</v>
      </c>
    </row>
    <row r="219" ht="23.25" customHeight="1">
      <c r="A219" s="6">
        <v>218.0</v>
      </c>
      <c r="B219" s="6" t="s">
        <v>88</v>
      </c>
      <c r="C219" s="6" t="s">
        <v>401</v>
      </c>
      <c r="D219" s="6" t="s">
        <v>39</v>
      </c>
      <c r="E219" s="6" t="s">
        <v>402</v>
      </c>
      <c r="F219" s="6" t="s">
        <v>25</v>
      </c>
      <c r="G219" s="6" t="s">
        <v>64</v>
      </c>
      <c r="H219" s="6" t="s">
        <v>403</v>
      </c>
      <c r="I219" s="6" t="s">
        <v>404</v>
      </c>
      <c r="J219" s="6">
        <v>21.0</v>
      </c>
      <c r="K219" s="6" t="s">
        <v>405</v>
      </c>
      <c r="L219" s="6" t="s">
        <v>30</v>
      </c>
    </row>
    <row r="220" ht="23.25" customHeight="1">
      <c r="A220" s="6">
        <v>219.0</v>
      </c>
      <c r="B220" s="6" t="s">
        <v>88</v>
      </c>
      <c r="C220" s="6" t="s">
        <v>1143</v>
      </c>
      <c r="D220" s="6" t="s">
        <v>39</v>
      </c>
      <c r="E220" s="6" t="s">
        <v>1144</v>
      </c>
      <c r="F220" s="6" t="s">
        <v>25</v>
      </c>
      <c r="G220" s="6" t="s">
        <v>64</v>
      </c>
      <c r="H220" s="6" t="s">
        <v>1145</v>
      </c>
      <c r="I220" s="6" t="s">
        <v>404</v>
      </c>
      <c r="J220" s="6">
        <v>100.0</v>
      </c>
      <c r="K220" s="6" t="s">
        <v>1146</v>
      </c>
      <c r="L220" s="6" t="s">
        <v>598</v>
      </c>
    </row>
    <row r="221" ht="23.25" customHeight="1">
      <c r="A221" s="6">
        <v>220.0</v>
      </c>
      <c r="B221" s="6" t="s">
        <v>88</v>
      </c>
      <c r="C221" s="6" t="s">
        <v>1147</v>
      </c>
      <c r="D221" s="6" t="s">
        <v>1148</v>
      </c>
      <c r="E221" s="6" t="s">
        <v>1149</v>
      </c>
      <c r="F221" s="6" t="s">
        <v>25</v>
      </c>
      <c r="G221" s="6" t="s">
        <v>64</v>
      </c>
      <c r="H221" s="6" t="s">
        <v>1150</v>
      </c>
      <c r="I221" s="6" t="s">
        <v>1151</v>
      </c>
      <c r="J221" s="6">
        <v>46.0</v>
      </c>
      <c r="K221" s="6" t="s">
        <v>1152</v>
      </c>
      <c r="L221" s="6" t="s">
        <v>598</v>
      </c>
    </row>
    <row r="222" ht="23.25" customHeight="1">
      <c r="A222" s="6">
        <v>221.0</v>
      </c>
      <c r="B222" s="6" t="s">
        <v>88</v>
      </c>
      <c r="C222" s="6" t="s">
        <v>1153</v>
      </c>
      <c r="D222" s="6" t="s">
        <v>1154</v>
      </c>
      <c r="E222" s="6" t="s">
        <v>1155</v>
      </c>
      <c r="F222" s="6" t="s">
        <v>25</v>
      </c>
      <c r="G222" s="6" t="s">
        <v>64</v>
      </c>
      <c r="H222" s="6" t="s">
        <v>1156</v>
      </c>
      <c r="I222" s="6" t="s">
        <v>1151</v>
      </c>
      <c r="J222" s="6">
        <v>57.0</v>
      </c>
      <c r="K222" s="6" t="s">
        <v>1157</v>
      </c>
      <c r="L222" s="6" t="s">
        <v>30</v>
      </c>
    </row>
    <row r="223" ht="23.25" customHeight="1">
      <c r="A223" s="6">
        <v>222.0</v>
      </c>
      <c r="B223" s="6" t="s">
        <v>88</v>
      </c>
      <c r="C223" s="6" t="s">
        <v>1158</v>
      </c>
      <c r="D223" s="6" t="s">
        <v>39</v>
      </c>
      <c r="E223" s="6" t="s">
        <v>1159</v>
      </c>
      <c r="F223" s="6" t="s">
        <v>25</v>
      </c>
      <c r="G223" s="6" t="s">
        <v>64</v>
      </c>
      <c r="H223" s="6" t="s">
        <v>1160</v>
      </c>
      <c r="I223" s="6" t="s">
        <v>178</v>
      </c>
      <c r="J223" s="6">
        <v>102.0</v>
      </c>
      <c r="K223" s="6" t="s">
        <v>857</v>
      </c>
      <c r="L223" s="6" t="s">
        <v>598</v>
      </c>
    </row>
    <row r="224" ht="23.25" customHeight="1">
      <c r="A224" s="6">
        <v>223.0</v>
      </c>
      <c r="B224" s="6" t="s">
        <v>88</v>
      </c>
      <c r="C224" s="6" t="s">
        <v>1161</v>
      </c>
      <c r="D224" s="6" t="s">
        <v>1162</v>
      </c>
      <c r="E224" s="6" t="s">
        <v>1163</v>
      </c>
      <c r="F224" s="6" t="s">
        <v>25</v>
      </c>
      <c r="G224" s="6" t="s">
        <v>64</v>
      </c>
      <c r="H224" s="6" t="s">
        <v>1164</v>
      </c>
      <c r="I224" s="6" t="s">
        <v>208</v>
      </c>
      <c r="J224" s="6">
        <v>52.0</v>
      </c>
      <c r="K224" s="6" t="s">
        <v>357</v>
      </c>
      <c r="L224" s="6" t="s">
        <v>598</v>
      </c>
    </row>
    <row r="225" ht="23.25" customHeight="1">
      <c r="A225" s="6">
        <v>224.0</v>
      </c>
      <c r="B225" s="6" t="s">
        <v>88</v>
      </c>
      <c r="C225" s="6" t="s">
        <v>204</v>
      </c>
      <c r="D225" s="6" t="s">
        <v>205</v>
      </c>
      <c r="E225" s="6" t="s">
        <v>206</v>
      </c>
      <c r="F225" s="6" t="s">
        <v>25</v>
      </c>
      <c r="G225" s="6" t="s">
        <v>64</v>
      </c>
      <c r="H225" s="6" t="s">
        <v>207</v>
      </c>
      <c r="I225" s="6" t="s">
        <v>208</v>
      </c>
      <c r="J225" s="6">
        <v>8.0</v>
      </c>
      <c r="K225" s="6" t="s">
        <v>209</v>
      </c>
      <c r="L225" s="6" t="s">
        <v>30</v>
      </c>
    </row>
    <row r="226" ht="23.25" customHeight="1">
      <c r="A226" s="6">
        <v>225.0</v>
      </c>
      <c r="B226" s="6" t="s">
        <v>21</v>
      </c>
      <c r="C226" s="6" t="s">
        <v>317</v>
      </c>
      <c r="D226" s="6" t="s">
        <v>318</v>
      </c>
      <c r="E226" s="6" t="s">
        <v>319</v>
      </c>
      <c r="F226" s="6" t="s">
        <v>25</v>
      </c>
      <c r="G226" s="6" t="s">
        <v>64</v>
      </c>
      <c r="H226" s="6" t="s">
        <v>320</v>
      </c>
      <c r="I226" s="6" t="s">
        <v>256</v>
      </c>
      <c r="J226" s="6">
        <v>17.0</v>
      </c>
      <c r="K226" s="6" t="s">
        <v>321</v>
      </c>
      <c r="L226" s="6" t="s">
        <v>30</v>
      </c>
    </row>
    <row r="227" ht="23.25" customHeight="1">
      <c r="A227" s="6">
        <v>226.0</v>
      </c>
      <c r="B227" s="6" t="s">
        <v>21</v>
      </c>
      <c r="C227" s="6" t="s">
        <v>1165</v>
      </c>
      <c r="D227" s="6" t="s">
        <v>39</v>
      </c>
      <c r="E227" s="6" t="s">
        <v>1166</v>
      </c>
      <c r="F227" s="6" t="s">
        <v>25</v>
      </c>
      <c r="G227" s="6" t="s">
        <v>64</v>
      </c>
      <c r="H227" s="6" t="s">
        <v>1167</v>
      </c>
      <c r="I227" s="6" t="s">
        <v>256</v>
      </c>
      <c r="J227" s="6">
        <v>64.0</v>
      </c>
      <c r="K227" s="6" t="s">
        <v>1168</v>
      </c>
      <c r="L227" s="6" t="s">
        <v>598</v>
      </c>
    </row>
    <row r="228" ht="23.25" customHeight="1">
      <c r="A228" s="6">
        <v>227.0</v>
      </c>
      <c r="B228" s="6" t="s">
        <v>21</v>
      </c>
      <c r="C228" s="6" t="s">
        <v>253</v>
      </c>
      <c r="D228" s="6" t="s">
        <v>39</v>
      </c>
      <c r="E228" s="6" t="s">
        <v>254</v>
      </c>
      <c r="F228" s="6" t="s">
        <v>25</v>
      </c>
      <c r="G228" s="6" t="s">
        <v>64</v>
      </c>
      <c r="H228" s="6" t="s">
        <v>255</v>
      </c>
      <c r="I228" s="6" t="s">
        <v>256</v>
      </c>
      <c r="J228" s="6">
        <v>12.0</v>
      </c>
      <c r="K228" s="6" t="s">
        <v>230</v>
      </c>
      <c r="L228" s="6" t="s">
        <v>30</v>
      </c>
    </row>
    <row r="229" ht="23.25" customHeight="1">
      <c r="A229" s="6">
        <v>228.0</v>
      </c>
      <c r="B229" s="6" t="s">
        <v>21</v>
      </c>
      <c r="C229" s="6" t="s">
        <v>322</v>
      </c>
      <c r="D229" s="6" t="s">
        <v>323</v>
      </c>
      <c r="E229" s="6" t="s">
        <v>324</v>
      </c>
      <c r="F229" s="6" t="s">
        <v>25</v>
      </c>
      <c r="G229" s="6" t="s">
        <v>64</v>
      </c>
      <c r="H229" s="6" t="s">
        <v>325</v>
      </c>
      <c r="I229" s="6" t="s">
        <v>326</v>
      </c>
      <c r="J229" s="6">
        <v>17.0</v>
      </c>
      <c r="K229" s="6" t="s">
        <v>123</v>
      </c>
      <c r="L229" s="6" t="s">
        <v>30</v>
      </c>
    </row>
    <row r="230" ht="23.25" customHeight="1">
      <c r="A230" s="6">
        <v>229.0</v>
      </c>
      <c r="B230" s="6" t="s">
        <v>21</v>
      </c>
      <c r="C230" s="6" t="s">
        <v>1169</v>
      </c>
      <c r="D230" s="6" t="s">
        <v>1170</v>
      </c>
      <c r="E230" s="6" t="s">
        <v>1171</v>
      </c>
      <c r="F230" s="6" t="s">
        <v>25</v>
      </c>
      <c r="G230" s="6" t="s">
        <v>64</v>
      </c>
      <c r="H230" s="6" t="s">
        <v>1172</v>
      </c>
      <c r="I230" s="6" t="s">
        <v>326</v>
      </c>
      <c r="J230" s="6">
        <v>61.0</v>
      </c>
      <c r="K230" s="6" t="s">
        <v>1015</v>
      </c>
      <c r="L230" s="6" t="s">
        <v>598</v>
      </c>
    </row>
    <row r="231" ht="23.25" customHeight="1">
      <c r="A231" s="6">
        <v>230.0</v>
      </c>
      <c r="B231" s="6" t="s">
        <v>21</v>
      </c>
      <c r="C231" s="6" t="s">
        <v>1173</v>
      </c>
      <c r="D231" s="6" t="s">
        <v>1174</v>
      </c>
      <c r="E231" s="6" t="s">
        <v>1175</v>
      </c>
      <c r="F231" s="6" t="s">
        <v>25</v>
      </c>
      <c r="G231" s="6" t="s">
        <v>64</v>
      </c>
      <c r="H231" s="6" t="s">
        <v>1176</v>
      </c>
      <c r="I231" s="6" t="s">
        <v>434</v>
      </c>
      <c r="J231" s="6">
        <v>45.0</v>
      </c>
      <c r="K231" s="6" t="s">
        <v>489</v>
      </c>
      <c r="L231" s="6" t="s">
        <v>598</v>
      </c>
    </row>
    <row r="232" ht="23.25" customHeight="1">
      <c r="A232" s="6">
        <v>231.0</v>
      </c>
      <c r="B232" s="6" t="s">
        <v>21</v>
      </c>
      <c r="C232" s="6" t="s">
        <v>431</v>
      </c>
      <c r="D232" s="6" t="s">
        <v>39</v>
      </c>
      <c r="E232" s="6" t="s">
        <v>432</v>
      </c>
      <c r="F232" s="6" t="s">
        <v>25</v>
      </c>
      <c r="G232" s="6" t="s">
        <v>64</v>
      </c>
      <c r="H232" s="6" t="s">
        <v>433</v>
      </c>
      <c r="I232" s="6" t="s">
        <v>434</v>
      </c>
      <c r="J232" s="6">
        <v>24.0</v>
      </c>
      <c r="K232" s="6" t="s">
        <v>435</v>
      </c>
      <c r="L232" s="6" t="s">
        <v>30</v>
      </c>
    </row>
    <row r="233" ht="23.25" customHeight="1">
      <c r="A233" s="6">
        <v>232.0</v>
      </c>
      <c r="B233" s="6" t="s">
        <v>21</v>
      </c>
      <c r="C233" s="6" t="s">
        <v>1177</v>
      </c>
      <c r="D233" s="6" t="s">
        <v>1178</v>
      </c>
      <c r="E233" s="6" t="s">
        <v>1179</v>
      </c>
      <c r="F233" s="6" t="s">
        <v>25</v>
      </c>
      <c r="G233" s="6" t="s">
        <v>64</v>
      </c>
      <c r="H233" s="6" t="s">
        <v>1180</v>
      </c>
      <c r="I233" s="6" t="s">
        <v>404</v>
      </c>
      <c r="J233" s="6">
        <v>48.0</v>
      </c>
      <c r="K233" s="6" t="s">
        <v>1181</v>
      </c>
      <c r="L233" s="6" t="s">
        <v>598</v>
      </c>
    </row>
    <row r="234" ht="23.25" customHeight="1">
      <c r="A234" s="6">
        <v>233.0</v>
      </c>
      <c r="B234" s="6" t="s">
        <v>21</v>
      </c>
      <c r="C234" s="6" t="s">
        <v>1182</v>
      </c>
      <c r="D234" s="6" t="s">
        <v>1183</v>
      </c>
      <c r="E234" s="6" t="s">
        <v>1184</v>
      </c>
      <c r="F234" s="6" t="s">
        <v>25</v>
      </c>
      <c r="G234" s="6" t="s">
        <v>64</v>
      </c>
      <c r="H234" s="6" t="s">
        <v>1185</v>
      </c>
      <c r="I234" s="6" t="s">
        <v>404</v>
      </c>
      <c r="J234" s="6">
        <v>56.0</v>
      </c>
      <c r="K234" s="6" t="s">
        <v>1186</v>
      </c>
      <c r="L234" s="6" t="s">
        <v>598</v>
      </c>
    </row>
    <row r="235" ht="23.25" customHeight="1">
      <c r="A235" s="6">
        <v>234.0</v>
      </c>
      <c r="B235" s="6" t="s">
        <v>21</v>
      </c>
      <c r="C235" s="6" t="s">
        <v>1187</v>
      </c>
      <c r="D235" s="6" t="s">
        <v>1188</v>
      </c>
      <c r="E235" s="6" t="s">
        <v>1189</v>
      </c>
      <c r="F235" s="6" t="s">
        <v>25</v>
      </c>
      <c r="G235" s="6" t="s">
        <v>64</v>
      </c>
      <c r="H235" s="6" t="s">
        <v>1190</v>
      </c>
      <c r="I235" s="6" t="s">
        <v>404</v>
      </c>
      <c r="J235" s="6">
        <v>94.0</v>
      </c>
      <c r="K235" s="6" t="s">
        <v>1191</v>
      </c>
      <c r="L235" s="6" t="s">
        <v>598</v>
      </c>
    </row>
    <row r="236" ht="23.25" customHeight="1">
      <c r="A236" s="6">
        <v>235.0</v>
      </c>
      <c r="B236" s="6" t="s">
        <v>21</v>
      </c>
      <c r="C236" s="6" t="s">
        <v>1192</v>
      </c>
      <c r="D236" s="6" t="s">
        <v>39</v>
      </c>
      <c r="E236" s="6" t="s">
        <v>1193</v>
      </c>
      <c r="F236" s="6" t="s">
        <v>25</v>
      </c>
      <c r="G236" s="6" t="s">
        <v>64</v>
      </c>
      <c r="H236" s="6" t="s">
        <v>1194</v>
      </c>
      <c r="I236" s="6" t="s">
        <v>1151</v>
      </c>
      <c r="J236" s="6">
        <v>96.0</v>
      </c>
      <c r="K236" s="6" t="s">
        <v>1195</v>
      </c>
      <c r="L236" s="6" t="s">
        <v>598</v>
      </c>
    </row>
    <row r="237" ht="23.25" customHeight="1">
      <c r="A237" s="6">
        <v>236.0</v>
      </c>
      <c r="B237" s="6" t="s">
        <v>21</v>
      </c>
      <c r="C237" s="6" t="s">
        <v>1196</v>
      </c>
      <c r="D237" s="6" t="s">
        <v>1197</v>
      </c>
      <c r="E237" s="6" t="s">
        <v>1198</v>
      </c>
      <c r="F237" s="6" t="s">
        <v>25</v>
      </c>
      <c r="G237" s="6" t="s">
        <v>64</v>
      </c>
      <c r="H237" s="6" t="s">
        <v>1199</v>
      </c>
      <c r="I237" s="6" t="s">
        <v>1151</v>
      </c>
      <c r="J237" s="6">
        <v>88.0</v>
      </c>
      <c r="K237" s="6" t="s">
        <v>1200</v>
      </c>
      <c r="L237" s="6" t="s">
        <v>598</v>
      </c>
    </row>
    <row r="238" ht="23.25" customHeight="1">
      <c r="A238" s="6">
        <v>237.0</v>
      </c>
      <c r="B238" s="6" t="s">
        <v>21</v>
      </c>
      <c r="C238" s="6" t="s">
        <v>257</v>
      </c>
      <c r="D238" s="6" t="s">
        <v>258</v>
      </c>
      <c r="E238" s="6" t="s">
        <v>259</v>
      </c>
      <c r="F238" s="6" t="s">
        <v>25</v>
      </c>
      <c r="G238" s="6" t="s">
        <v>64</v>
      </c>
      <c r="H238" s="6" t="s">
        <v>260</v>
      </c>
      <c r="I238" s="6" t="s">
        <v>261</v>
      </c>
      <c r="J238" s="6">
        <v>12.0</v>
      </c>
      <c r="K238" s="6" t="s">
        <v>203</v>
      </c>
      <c r="L238" s="6" t="s">
        <v>30</v>
      </c>
    </row>
    <row r="239" ht="23.25" customHeight="1">
      <c r="A239" s="6">
        <v>238.0</v>
      </c>
      <c r="B239" s="6" t="s">
        <v>21</v>
      </c>
      <c r="C239" s="6" t="s">
        <v>175</v>
      </c>
      <c r="D239" s="6" t="s">
        <v>39</v>
      </c>
      <c r="E239" s="6" t="s">
        <v>176</v>
      </c>
      <c r="F239" s="6" t="s">
        <v>25</v>
      </c>
      <c r="G239" s="6" t="s">
        <v>64</v>
      </c>
      <c r="H239" s="6" t="s">
        <v>177</v>
      </c>
      <c r="I239" s="6" t="s">
        <v>178</v>
      </c>
      <c r="J239" s="6">
        <v>7.0</v>
      </c>
      <c r="K239" s="6" t="s">
        <v>179</v>
      </c>
      <c r="L239" s="6" t="s">
        <v>30</v>
      </c>
    </row>
    <row r="240" ht="23.25" customHeight="1">
      <c r="A240" s="6">
        <v>239.0</v>
      </c>
      <c r="B240" s="6" t="s">
        <v>21</v>
      </c>
      <c r="C240" s="6" t="s">
        <v>1201</v>
      </c>
      <c r="D240" s="6" t="s">
        <v>39</v>
      </c>
      <c r="E240" s="6" t="s">
        <v>1202</v>
      </c>
      <c r="F240" s="6" t="s">
        <v>25</v>
      </c>
      <c r="G240" s="6" t="s">
        <v>64</v>
      </c>
      <c r="H240" s="6" t="s">
        <v>1203</v>
      </c>
      <c r="I240" s="6" t="s">
        <v>1204</v>
      </c>
      <c r="J240" s="6">
        <v>81.0</v>
      </c>
      <c r="K240" s="6" t="s">
        <v>230</v>
      </c>
      <c r="L240" s="6" t="s">
        <v>598</v>
      </c>
    </row>
    <row r="241" ht="23.25" customHeight="1">
      <c r="A241" s="6">
        <v>240.0</v>
      </c>
      <c r="B241" s="6" t="s">
        <v>21</v>
      </c>
      <c r="C241" s="6" t="s">
        <v>1205</v>
      </c>
      <c r="D241" s="6" t="s">
        <v>39</v>
      </c>
      <c r="E241" s="6" t="s">
        <v>1206</v>
      </c>
      <c r="F241" s="6" t="s">
        <v>25</v>
      </c>
      <c r="G241" s="6" t="s">
        <v>64</v>
      </c>
      <c r="H241" s="6" t="s">
        <v>1207</v>
      </c>
      <c r="I241" s="6" t="s">
        <v>1204</v>
      </c>
      <c r="J241" s="6">
        <v>86.0</v>
      </c>
      <c r="K241" s="6" t="s">
        <v>1208</v>
      </c>
      <c r="L241" s="6" t="s">
        <v>598</v>
      </c>
    </row>
    <row r="242" ht="23.25" customHeight="1">
      <c r="A242" s="6">
        <v>241.0</v>
      </c>
      <c r="B242" s="6" t="s">
        <v>21</v>
      </c>
      <c r="C242" s="6" t="s">
        <v>456</v>
      </c>
      <c r="D242" s="6" t="s">
        <v>457</v>
      </c>
      <c r="E242" s="6" t="s">
        <v>458</v>
      </c>
      <c r="F242" s="6" t="s">
        <v>25</v>
      </c>
      <c r="G242" s="6" t="s">
        <v>64</v>
      </c>
      <c r="H242" s="6" t="s">
        <v>459</v>
      </c>
      <c r="I242" s="6" t="s">
        <v>208</v>
      </c>
      <c r="J242" s="6">
        <v>26.0</v>
      </c>
      <c r="K242" s="6" t="s">
        <v>460</v>
      </c>
      <c r="L242" s="6" t="s">
        <v>30</v>
      </c>
    </row>
    <row r="243" ht="23.25" customHeight="1">
      <c r="A243" s="6">
        <v>242.0</v>
      </c>
      <c r="B243" s="6" t="s">
        <v>21</v>
      </c>
      <c r="C243" s="6" t="s">
        <v>1209</v>
      </c>
      <c r="D243" s="6" t="s">
        <v>1210</v>
      </c>
      <c r="E243" s="6" t="s">
        <v>1211</v>
      </c>
      <c r="F243" s="6" t="s">
        <v>25</v>
      </c>
      <c r="G243" s="6" t="s">
        <v>64</v>
      </c>
      <c r="H243" s="6" t="s">
        <v>1212</v>
      </c>
      <c r="I243" s="6" t="s">
        <v>1213</v>
      </c>
      <c r="J243" s="6">
        <v>42.0</v>
      </c>
      <c r="K243" s="6" t="s">
        <v>1214</v>
      </c>
      <c r="L243" s="6" t="s">
        <v>598</v>
      </c>
    </row>
    <row r="244" ht="23.25" customHeight="1">
      <c r="A244" s="6">
        <v>243.0</v>
      </c>
      <c r="B244" s="6" t="s">
        <v>21</v>
      </c>
      <c r="C244" s="6" t="s">
        <v>1215</v>
      </c>
      <c r="D244" s="6" t="s">
        <v>1216</v>
      </c>
      <c r="E244" s="6" t="s">
        <v>1217</v>
      </c>
      <c r="F244" s="6" t="s">
        <v>25</v>
      </c>
      <c r="G244" s="6" t="s">
        <v>64</v>
      </c>
      <c r="H244" s="6" t="s">
        <v>1218</v>
      </c>
      <c r="I244" s="6" t="s">
        <v>208</v>
      </c>
      <c r="J244" s="6">
        <v>29.0</v>
      </c>
      <c r="K244" s="6" t="s">
        <v>1219</v>
      </c>
      <c r="L244" s="6" t="s">
        <v>598</v>
      </c>
    </row>
    <row r="245" ht="23.25" customHeight="1">
      <c r="A245" s="6">
        <v>244.0</v>
      </c>
      <c r="B245" s="6" t="s">
        <v>88</v>
      </c>
      <c r="C245" s="6" t="s">
        <v>1220</v>
      </c>
      <c r="D245" s="6" t="s">
        <v>1221</v>
      </c>
      <c r="E245" s="6" t="s">
        <v>1222</v>
      </c>
      <c r="F245" s="6" t="s">
        <v>25</v>
      </c>
      <c r="G245" s="6" t="s">
        <v>64</v>
      </c>
      <c r="H245" s="6" t="s">
        <v>1223</v>
      </c>
      <c r="I245" s="6" t="s">
        <v>1224</v>
      </c>
      <c r="J245" s="6">
        <v>41.0</v>
      </c>
      <c r="K245" s="6" t="s">
        <v>1225</v>
      </c>
      <c r="L245" s="6" t="s">
        <v>598</v>
      </c>
    </row>
    <row r="246" ht="23.25" customHeight="1">
      <c r="A246" s="6">
        <v>245.0</v>
      </c>
      <c r="B246" s="6" t="s">
        <v>88</v>
      </c>
      <c r="C246" s="6" t="s">
        <v>1226</v>
      </c>
      <c r="D246" s="6" t="s">
        <v>1227</v>
      </c>
      <c r="E246" s="6" t="s">
        <v>1228</v>
      </c>
      <c r="F246" s="6" t="s">
        <v>25</v>
      </c>
      <c r="G246" s="6" t="s">
        <v>64</v>
      </c>
      <c r="H246" s="6" t="s">
        <v>1229</v>
      </c>
      <c r="I246" s="6" t="s">
        <v>1224</v>
      </c>
      <c r="J246" s="6">
        <v>41.0</v>
      </c>
      <c r="K246" s="6" t="s">
        <v>1230</v>
      </c>
      <c r="L246" s="6" t="s">
        <v>598</v>
      </c>
    </row>
    <row r="247" ht="23.25" customHeight="1">
      <c r="A247" s="6">
        <v>246.0</v>
      </c>
      <c r="B247" s="6" t="s">
        <v>88</v>
      </c>
      <c r="C247" s="6" t="s">
        <v>1231</v>
      </c>
      <c r="D247" s="6" t="s">
        <v>1232</v>
      </c>
      <c r="E247" s="6" t="s">
        <v>1233</v>
      </c>
      <c r="F247" s="6" t="s">
        <v>25</v>
      </c>
      <c r="G247" s="6" t="s">
        <v>64</v>
      </c>
      <c r="H247" s="6" t="s">
        <v>1234</v>
      </c>
      <c r="I247" s="6" t="s">
        <v>1224</v>
      </c>
      <c r="J247" s="6">
        <v>51.0</v>
      </c>
      <c r="K247" s="6" t="s">
        <v>357</v>
      </c>
      <c r="L247" s="6" t="s">
        <v>598</v>
      </c>
    </row>
    <row r="248" ht="23.25" customHeight="1">
      <c r="A248" s="6">
        <v>247.0</v>
      </c>
      <c r="B248" s="6" t="s">
        <v>88</v>
      </c>
      <c r="C248" s="6" t="s">
        <v>1235</v>
      </c>
      <c r="D248" s="6" t="s">
        <v>1236</v>
      </c>
      <c r="E248" s="6" t="s">
        <v>1237</v>
      </c>
      <c r="F248" s="6" t="s">
        <v>25</v>
      </c>
      <c r="G248" s="6" t="s">
        <v>64</v>
      </c>
      <c r="H248" s="6" t="s">
        <v>1238</v>
      </c>
      <c r="I248" s="6" t="s">
        <v>1224</v>
      </c>
      <c r="J248" s="6">
        <v>32.0</v>
      </c>
      <c r="K248" s="6" t="s">
        <v>1239</v>
      </c>
      <c r="L248" s="6" t="s">
        <v>30</v>
      </c>
    </row>
    <row r="249" ht="23.25" customHeight="1">
      <c r="A249" s="6">
        <v>248.0</v>
      </c>
      <c r="B249" s="6" t="s">
        <v>88</v>
      </c>
      <c r="C249" s="6" t="s">
        <v>1240</v>
      </c>
      <c r="D249" s="6" t="s">
        <v>1241</v>
      </c>
      <c r="E249" s="6" t="s">
        <v>1242</v>
      </c>
      <c r="F249" s="6" t="s">
        <v>25</v>
      </c>
      <c r="G249" s="6" t="s">
        <v>64</v>
      </c>
      <c r="H249" s="6" t="s">
        <v>1243</v>
      </c>
      <c r="I249" s="6" t="s">
        <v>1244</v>
      </c>
      <c r="J249" s="6">
        <v>91.0</v>
      </c>
      <c r="K249" s="6" t="s">
        <v>1245</v>
      </c>
      <c r="L249" s="6" t="s">
        <v>598</v>
      </c>
    </row>
    <row r="250" ht="23.25" customHeight="1">
      <c r="A250" s="6">
        <v>249.0</v>
      </c>
      <c r="B250" s="6" t="s">
        <v>88</v>
      </c>
      <c r="C250" s="6" t="s">
        <v>1246</v>
      </c>
      <c r="D250" s="6" t="s">
        <v>1247</v>
      </c>
      <c r="E250" s="6" t="s">
        <v>1248</v>
      </c>
      <c r="F250" s="6" t="s">
        <v>25</v>
      </c>
      <c r="G250" s="6" t="s">
        <v>64</v>
      </c>
      <c r="H250" s="6" t="s">
        <v>1249</v>
      </c>
      <c r="I250" s="6" t="s">
        <v>1244</v>
      </c>
      <c r="J250" s="6">
        <v>124.0</v>
      </c>
      <c r="K250" s="6" t="s">
        <v>853</v>
      </c>
      <c r="L250" s="6" t="s">
        <v>598</v>
      </c>
    </row>
    <row r="251" ht="23.25" customHeight="1">
      <c r="A251" s="6">
        <v>250.0</v>
      </c>
      <c r="B251" s="6" t="s">
        <v>88</v>
      </c>
      <c r="C251" s="6" t="s">
        <v>1250</v>
      </c>
      <c r="D251" s="6" t="s">
        <v>1251</v>
      </c>
      <c r="E251" s="6" t="s">
        <v>1252</v>
      </c>
      <c r="F251" s="6" t="s">
        <v>25</v>
      </c>
      <c r="G251" s="6" t="s">
        <v>64</v>
      </c>
      <c r="H251" s="6" t="s">
        <v>1253</v>
      </c>
      <c r="I251" s="6" t="s">
        <v>1254</v>
      </c>
      <c r="J251" s="6">
        <v>61.0</v>
      </c>
      <c r="K251" s="6" t="s">
        <v>1255</v>
      </c>
      <c r="L251" s="6" t="s">
        <v>30</v>
      </c>
    </row>
    <row r="252" ht="23.25" customHeight="1">
      <c r="A252" s="6">
        <v>251.0</v>
      </c>
      <c r="B252" s="6" t="s">
        <v>88</v>
      </c>
      <c r="C252" s="6" t="s">
        <v>1256</v>
      </c>
      <c r="D252" s="6" t="s">
        <v>1257</v>
      </c>
      <c r="E252" s="6" t="s">
        <v>1258</v>
      </c>
      <c r="F252" s="6" t="s">
        <v>25</v>
      </c>
      <c r="G252" s="6" t="s">
        <v>64</v>
      </c>
      <c r="H252" s="6" t="s">
        <v>1259</v>
      </c>
      <c r="I252" s="6" t="s">
        <v>1254</v>
      </c>
      <c r="J252" s="6">
        <v>87.0</v>
      </c>
      <c r="K252" s="6" t="s">
        <v>357</v>
      </c>
      <c r="L252" s="6" t="s">
        <v>598</v>
      </c>
    </row>
    <row r="253" ht="23.25" customHeight="1">
      <c r="A253" s="6">
        <v>252.0</v>
      </c>
      <c r="B253" s="6" t="s">
        <v>88</v>
      </c>
      <c r="C253" s="6" t="s">
        <v>1260</v>
      </c>
      <c r="D253" s="6" t="s">
        <v>1261</v>
      </c>
      <c r="E253" s="6" t="s">
        <v>1262</v>
      </c>
      <c r="F253" s="6" t="s">
        <v>25</v>
      </c>
      <c r="G253" s="6" t="s">
        <v>64</v>
      </c>
      <c r="H253" s="6" t="s">
        <v>1263</v>
      </c>
      <c r="I253" s="6" t="s">
        <v>1264</v>
      </c>
      <c r="J253" s="6">
        <v>143.0</v>
      </c>
      <c r="K253" s="6" t="s">
        <v>500</v>
      </c>
      <c r="L253" s="6" t="s">
        <v>598</v>
      </c>
    </row>
    <row r="254" ht="23.25" customHeight="1">
      <c r="A254" s="6">
        <v>253.0</v>
      </c>
      <c r="B254" s="6" t="s">
        <v>88</v>
      </c>
      <c r="C254" s="6" t="s">
        <v>1265</v>
      </c>
      <c r="D254" s="6" t="s">
        <v>1266</v>
      </c>
      <c r="E254" s="6" t="s">
        <v>1267</v>
      </c>
      <c r="F254" s="6" t="s">
        <v>25</v>
      </c>
      <c r="G254" s="6" t="s">
        <v>64</v>
      </c>
      <c r="H254" s="6" t="s">
        <v>1268</v>
      </c>
      <c r="I254" s="6" t="s">
        <v>1269</v>
      </c>
      <c r="J254" s="6">
        <v>85.0</v>
      </c>
      <c r="K254" s="6" t="s">
        <v>853</v>
      </c>
      <c r="L254" s="6" t="s">
        <v>598</v>
      </c>
    </row>
    <row r="255" ht="23.25" customHeight="1">
      <c r="A255" s="6">
        <v>254.0</v>
      </c>
      <c r="B255" s="6" t="s">
        <v>88</v>
      </c>
      <c r="C255" s="6" t="s">
        <v>1270</v>
      </c>
      <c r="D255" s="6" t="s">
        <v>39</v>
      </c>
      <c r="E255" s="6" t="s">
        <v>1271</v>
      </c>
      <c r="F255" s="6" t="s">
        <v>25</v>
      </c>
      <c r="G255" s="6" t="s">
        <v>64</v>
      </c>
      <c r="H255" s="6" t="s">
        <v>1272</v>
      </c>
      <c r="I255" s="6" t="s">
        <v>1273</v>
      </c>
      <c r="J255" s="6">
        <v>18.0</v>
      </c>
      <c r="K255" s="6" t="s">
        <v>500</v>
      </c>
      <c r="L255" s="6" t="s">
        <v>30</v>
      </c>
    </row>
    <row r="256" ht="23.25" customHeight="1">
      <c r="A256" s="6">
        <v>255.0</v>
      </c>
      <c r="B256" s="6" t="s">
        <v>88</v>
      </c>
      <c r="C256" s="6" t="s">
        <v>1274</v>
      </c>
      <c r="D256" s="6" t="s">
        <v>1275</v>
      </c>
      <c r="E256" s="6" t="s">
        <v>1276</v>
      </c>
      <c r="F256" s="6" t="s">
        <v>25</v>
      </c>
      <c r="G256" s="6" t="s">
        <v>64</v>
      </c>
      <c r="H256" s="6" t="s">
        <v>1277</v>
      </c>
      <c r="I256" s="6" t="s">
        <v>1273</v>
      </c>
      <c r="J256" s="6">
        <v>6.0</v>
      </c>
      <c r="K256" s="6" t="s">
        <v>1278</v>
      </c>
      <c r="L256" s="6" t="s">
        <v>30</v>
      </c>
    </row>
    <row r="257" ht="23.25" customHeight="1">
      <c r="A257" s="6">
        <v>256.0</v>
      </c>
      <c r="B257" s="6" t="s">
        <v>88</v>
      </c>
      <c r="C257" s="6" t="s">
        <v>1279</v>
      </c>
      <c r="D257" s="6" t="s">
        <v>1280</v>
      </c>
      <c r="E257" s="6" t="s">
        <v>1281</v>
      </c>
      <c r="F257" s="6" t="s">
        <v>25</v>
      </c>
      <c r="G257" s="6" t="s">
        <v>64</v>
      </c>
      <c r="H257" s="6" t="s">
        <v>1282</v>
      </c>
      <c r="I257" s="6" t="s">
        <v>1283</v>
      </c>
      <c r="J257" s="6">
        <v>72.0</v>
      </c>
      <c r="K257" s="6" t="s">
        <v>357</v>
      </c>
      <c r="L257" s="6" t="s">
        <v>598</v>
      </c>
    </row>
    <row r="258" ht="23.25" customHeight="1">
      <c r="A258" s="6">
        <v>257.0</v>
      </c>
      <c r="B258" s="6" t="s">
        <v>88</v>
      </c>
      <c r="C258" s="6" t="s">
        <v>1284</v>
      </c>
      <c r="D258" s="6" t="s">
        <v>39</v>
      </c>
      <c r="E258" s="6" t="s">
        <v>1285</v>
      </c>
      <c r="F258" s="6" t="s">
        <v>25</v>
      </c>
      <c r="G258" s="6" t="s">
        <v>64</v>
      </c>
      <c r="H258" s="6" t="s">
        <v>1286</v>
      </c>
      <c r="I258" s="6" t="s">
        <v>1283</v>
      </c>
      <c r="J258" s="6">
        <v>90.0</v>
      </c>
      <c r="K258" s="6" t="s">
        <v>1230</v>
      </c>
      <c r="L258" s="6" t="s">
        <v>598</v>
      </c>
    </row>
    <row r="259" ht="23.25" customHeight="1">
      <c r="A259" s="6">
        <v>258.0</v>
      </c>
      <c r="B259" s="6" t="s">
        <v>21</v>
      </c>
      <c r="C259" s="6" t="s">
        <v>1287</v>
      </c>
      <c r="D259" s="6" t="s">
        <v>1288</v>
      </c>
      <c r="E259" s="6" t="s">
        <v>1289</v>
      </c>
      <c r="F259" s="6" t="s">
        <v>25</v>
      </c>
      <c r="G259" s="6" t="s">
        <v>64</v>
      </c>
      <c r="H259" s="6" t="s">
        <v>1290</v>
      </c>
      <c r="I259" s="6" t="s">
        <v>1291</v>
      </c>
      <c r="J259" s="6">
        <v>19.0</v>
      </c>
      <c r="K259" s="6" t="s">
        <v>843</v>
      </c>
      <c r="L259" s="6" t="s">
        <v>30</v>
      </c>
    </row>
    <row r="260" ht="23.25" customHeight="1">
      <c r="A260" s="6">
        <v>259.0</v>
      </c>
      <c r="B260" s="6" t="s">
        <v>21</v>
      </c>
      <c r="C260" s="6" t="s">
        <v>1292</v>
      </c>
      <c r="D260" s="6" t="s">
        <v>1293</v>
      </c>
      <c r="E260" s="6" t="s">
        <v>1294</v>
      </c>
      <c r="F260" s="6" t="s">
        <v>25</v>
      </c>
      <c r="G260" s="6" t="s">
        <v>64</v>
      </c>
      <c r="H260" s="6" t="s">
        <v>1295</v>
      </c>
      <c r="I260" s="6" t="s">
        <v>1224</v>
      </c>
      <c r="J260" s="6">
        <v>36.0</v>
      </c>
      <c r="K260" s="6" t="s">
        <v>203</v>
      </c>
      <c r="L260" s="6" t="s">
        <v>30</v>
      </c>
    </row>
    <row r="261" ht="23.25" customHeight="1">
      <c r="A261" s="6">
        <v>260.0</v>
      </c>
      <c r="B261" s="6" t="s">
        <v>21</v>
      </c>
      <c r="C261" s="6" t="s">
        <v>1296</v>
      </c>
      <c r="D261" s="6" t="s">
        <v>1297</v>
      </c>
      <c r="E261" s="6" t="s">
        <v>1298</v>
      </c>
      <c r="F261" s="6" t="s">
        <v>25</v>
      </c>
      <c r="G261" s="6" t="s">
        <v>64</v>
      </c>
      <c r="H261" s="6" t="s">
        <v>1299</v>
      </c>
      <c r="I261" s="6" t="s">
        <v>1224</v>
      </c>
      <c r="J261" s="6">
        <v>173.0</v>
      </c>
      <c r="K261" s="6" t="s">
        <v>1300</v>
      </c>
      <c r="L261" s="6" t="s">
        <v>598</v>
      </c>
    </row>
    <row r="262" ht="23.25" customHeight="1">
      <c r="A262" s="6">
        <v>261.0</v>
      </c>
      <c r="B262" s="6" t="s">
        <v>21</v>
      </c>
      <c r="C262" s="6" t="s">
        <v>1301</v>
      </c>
      <c r="D262" s="6" t="s">
        <v>39</v>
      </c>
      <c r="E262" s="6" t="s">
        <v>1302</v>
      </c>
      <c r="F262" s="6" t="s">
        <v>25</v>
      </c>
      <c r="G262" s="6" t="s">
        <v>64</v>
      </c>
      <c r="H262" s="6" t="s">
        <v>1303</v>
      </c>
      <c r="I262" s="6" t="s">
        <v>1244</v>
      </c>
      <c r="J262" s="6">
        <v>9.0</v>
      </c>
      <c r="K262" s="6" t="s">
        <v>98</v>
      </c>
      <c r="L262" s="6" t="s">
        <v>30</v>
      </c>
    </row>
    <row r="263" ht="23.25" customHeight="1">
      <c r="A263" s="6">
        <v>262.0</v>
      </c>
      <c r="B263" s="6" t="s">
        <v>21</v>
      </c>
      <c r="C263" s="6" t="s">
        <v>1304</v>
      </c>
      <c r="D263" s="6" t="s">
        <v>1305</v>
      </c>
      <c r="E263" s="6" t="s">
        <v>1306</v>
      </c>
      <c r="F263" s="6" t="s">
        <v>25</v>
      </c>
      <c r="G263" s="6" t="s">
        <v>64</v>
      </c>
      <c r="H263" s="6" t="s">
        <v>1307</v>
      </c>
      <c r="I263" s="6" t="s">
        <v>1244</v>
      </c>
      <c r="J263" s="6">
        <v>4.0</v>
      </c>
      <c r="K263" s="6" t="s">
        <v>1308</v>
      </c>
      <c r="L263" s="6" t="s">
        <v>30</v>
      </c>
    </row>
    <row r="264" ht="23.25" customHeight="1">
      <c r="A264" s="6">
        <v>263.0</v>
      </c>
      <c r="B264" s="6" t="s">
        <v>21</v>
      </c>
      <c r="C264" s="6" t="s">
        <v>1309</v>
      </c>
      <c r="D264" s="6" t="s">
        <v>39</v>
      </c>
      <c r="E264" s="6" t="s">
        <v>1310</v>
      </c>
      <c r="F264" s="6" t="s">
        <v>25</v>
      </c>
      <c r="G264" s="6" t="s">
        <v>64</v>
      </c>
      <c r="H264" s="6" t="s">
        <v>1311</v>
      </c>
      <c r="I264" s="6" t="s">
        <v>1244</v>
      </c>
      <c r="J264" s="6">
        <v>13.0</v>
      </c>
      <c r="K264" s="6" t="s">
        <v>1312</v>
      </c>
      <c r="L264" s="6" t="s">
        <v>30</v>
      </c>
    </row>
    <row r="265" ht="23.25" customHeight="1">
      <c r="A265" s="6">
        <v>264.0</v>
      </c>
      <c r="B265" s="6" t="s">
        <v>21</v>
      </c>
      <c r="C265" s="6" t="s">
        <v>1313</v>
      </c>
      <c r="D265" s="6" t="s">
        <v>39</v>
      </c>
      <c r="E265" s="6" t="s">
        <v>1314</v>
      </c>
      <c r="F265" s="6" t="s">
        <v>25</v>
      </c>
      <c r="G265" s="6" t="s">
        <v>64</v>
      </c>
      <c r="H265" s="6" t="s">
        <v>1315</v>
      </c>
      <c r="I265" s="6" t="s">
        <v>1316</v>
      </c>
      <c r="J265" s="6">
        <v>1.0</v>
      </c>
      <c r="K265" s="6" t="s">
        <v>98</v>
      </c>
      <c r="L265" s="6" t="s">
        <v>30</v>
      </c>
    </row>
    <row r="266" ht="23.25" customHeight="1">
      <c r="A266" s="6">
        <v>265.0</v>
      </c>
      <c r="B266" s="6" t="s">
        <v>21</v>
      </c>
      <c r="C266" s="6" t="s">
        <v>1317</v>
      </c>
      <c r="D266" s="6" t="s">
        <v>1318</v>
      </c>
      <c r="E266" s="6" t="s">
        <v>1319</v>
      </c>
      <c r="F266" s="6" t="s">
        <v>25</v>
      </c>
      <c r="G266" s="6" t="s">
        <v>64</v>
      </c>
      <c r="H266" s="6" t="s">
        <v>1320</v>
      </c>
      <c r="I266" s="6" t="s">
        <v>1316</v>
      </c>
      <c r="J266" s="6">
        <v>14.0</v>
      </c>
      <c r="K266" s="6" t="s">
        <v>1321</v>
      </c>
      <c r="L266" s="6" t="s">
        <v>30</v>
      </c>
    </row>
    <row r="267" ht="23.25" customHeight="1">
      <c r="A267" s="6">
        <v>266.0</v>
      </c>
      <c r="B267" s="6" t="s">
        <v>21</v>
      </c>
      <c r="C267" s="6" t="s">
        <v>1322</v>
      </c>
      <c r="D267" s="6" t="s">
        <v>39</v>
      </c>
      <c r="E267" s="6" t="s">
        <v>1323</v>
      </c>
      <c r="F267" s="6" t="s">
        <v>25</v>
      </c>
      <c r="G267" s="6" t="s">
        <v>64</v>
      </c>
      <c r="H267" s="6" t="s">
        <v>1324</v>
      </c>
      <c r="I267" s="6" t="s">
        <v>1254</v>
      </c>
      <c r="J267" s="6">
        <v>48.0</v>
      </c>
      <c r="K267" s="6" t="s">
        <v>1325</v>
      </c>
      <c r="L267" s="6" t="s">
        <v>598</v>
      </c>
    </row>
    <row r="268" ht="23.25" customHeight="1">
      <c r="A268" s="6">
        <v>267.0</v>
      </c>
      <c r="B268" s="6" t="s">
        <v>21</v>
      </c>
      <c r="C268" s="6" t="s">
        <v>1326</v>
      </c>
      <c r="D268" s="6" t="s">
        <v>39</v>
      </c>
      <c r="E268" s="6" t="s">
        <v>1327</v>
      </c>
      <c r="F268" s="6" t="s">
        <v>25</v>
      </c>
      <c r="G268" s="6" t="s">
        <v>64</v>
      </c>
      <c r="H268" s="6" t="s">
        <v>1328</v>
      </c>
      <c r="I268" s="6" t="s">
        <v>1254</v>
      </c>
      <c r="J268" s="6">
        <v>42.0</v>
      </c>
      <c r="K268" s="6" t="s">
        <v>1329</v>
      </c>
      <c r="L268" s="6" t="s">
        <v>30</v>
      </c>
    </row>
    <row r="269" ht="23.25" customHeight="1">
      <c r="A269" s="6">
        <v>268.0</v>
      </c>
      <c r="B269" s="6" t="s">
        <v>21</v>
      </c>
      <c r="C269" s="6" t="s">
        <v>1330</v>
      </c>
      <c r="D269" s="6" t="s">
        <v>39</v>
      </c>
      <c r="E269" s="6" t="s">
        <v>1331</v>
      </c>
      <c r="F269" s="6" t="s">
        <v>25</v>
      </c>
      <c r="G269" s="6" t="s">
        <v>64</v>
      </c>
      <c r="H269" s="6" t="s">
        <v>1332</v>
      </c>
      <c r="I269" s="6" t="s">
        <v>1254</v>
      </c>
      <c r="J269" s="6">
        <v>1.0</v>
      </c>
      <c r="K269" s="6" t="s">
        <v>37</v>
      </c>
      <c r="L269" s="6" t="s">
        <v>30</v>
      </c>
    </row>
    <row r="270" ht="23.25" customHeight="1">
      <c r="A270" s="6">
        <v>269.0</v>
      </c>
      <c r="B270" s="6" t="s">
        <v>21</v>
      </c>
      <c r="C270" s="6" t="s">
        <v>1333</v>
      </c>
      <c r="D270" s="6" t="s">
        <v>1334</v>
      </c>
      <c r="E270" s="6" t="s">
        <v>1335</v>
      </c>
      <c r="F270" s="6" t="s">
        <v>25</v>
      </c>
      <c r="G270" s="6" t="s">
        <v>64</v>
      </c>
      <c r="H270" s="6" t="s">
        <v>1336</v>
      </c>
      <c r="I270" s="6" t="s">
        <v>1264</v>
      </c>
      <c r="J270" s="6">
        <v>51.0</v>
      </c>
      <c r="K270" s="6" t="s">
        <v>1337</v>
      </c>
      <c r="L270" s="6" t="s">
        <v>598</v>
      </c>
    </row>
    <row r="271" ht="23.25" customHeight="1">
      <c r="A271" s="6">
        <v>270.0</v>
      </c>
      <c r="B271" s="6" t="s">
        <v>21</v>
      </c>
      <c r="C271" s="6" t="s">
        <v>103</v>
      </c>
      <c r="D271" s="6" t="s">
        <v>1338</v>
      </c>
      <c r="E271" s="6" t="s">
        <v>1339</v>
      </c>
      <c r="F271" s="6" t="s">
        <v>25</v>
      </c>
      <c r="G271" s="6" t="s">
        <v>64</v>
      </c>
      <c r="H271" s="6" t="s">
        <v>1340</v>
      </c>
      <c r="I271" s="6" t="s">
        <v>1269</v>
      </c>
      <c r="J271" s="6">
        <v>41.0</v>
      </c>
      <c r="K271" s="6" t="s">
        <v>107</v>
      </c>
      <c r="L271" s="6" t="s">
        <v>598</v>
      </c>
    </row>
    <row r="272" ht="23.25" customHeight="1">
      <c r="A272" s="6">
        <v>271.0</v>
      </c>
      <c r="B272" s="6" t="s">
        <v>21</v>
      </c>
      <c r="C272" s="6" t="s">
        <v>1341</v>
      </c>
      <c r="D272" s="6" t="s">
        <v>1342</v>
      </c>
      <c r="E272" s="6" t="s">
        <v>1343</v>
      </c>
      <c r="F272" s="6" t="s">
        <v>25</v>
      </c>
      <c r="G272" s="6" t="s">
        <v>64</v>
      </c>
      <c r="H272" s="6" t="s">
        <v>1344</v>
      </c>
      <c r="I272" s="6" t="s">
        <v>1273</v>
      </c>
      <c r="J272" s="6">
        <v>8.0</v>
      </c>
      <c r="K272" s="6" t="s">
        <v>1345</v>
      </c>
      <c r="L272" s="6" t="s">
        <v>30</v>
      </c>
    </row>
    <row r="273" ht="23.25" customHeight="1">
      <c r="A273" s="6">
        <v>272.0</v>
      </c>
      <c r="B273" s="6" t="s">
        <v>21</v>
      </c>
      <c r="C273" s="6" t="s">
        <v>1346</v>
      </c>
      <c r="D273" s="6" t="s">
        <v>1347</v>
      </c>
      <c r="E273" s="6" t="s">
        <v>1348</v>
      </c>
      <c r="F273" s="6" t="s">
        <v>25</v>
      </c>
      <c r="G273" s="6" t="s">
        <v>64</v>
      </c>
      <c r="H273" s="6" t="s">
        <v>1349</v>
      </c>
      <c r="I273" s="6" t="s">
        <v>1273</v>
      </c>
      <c r="J273" s="6">
        <v>9.0</v>
      </c>
      <c r="K273" s="6" t="s">
        <v>1350</v>
      </c>
      <c r="L273" s="6" t="s">
        <v>30</v>
      </c>
    </row>
    <row r="274" ht="23.25" customHeight="1">
      <c r="A274" s="6">
        <v>273.0</v>
      </c>
      <c r="B274" s="6" t="s">
        <v>21</v>
      </c>
      <c r="C274" s="6" t="s">
        <v>1351</v>
      </c>
      <c r="D274" s="6" t="s">
        <v>1352</v>
      </c>
      <c r="E274" s="6" t="s">
        <v>1353</v>
      </c>
      <c r="F274" s="6" t="s">
        <v>25</v>
      </c>
      <c r="G274" s="6" t="s">
        <v>64</v>
      </c>
      <c r="H274" s="6" t="s">
        <v>1354</v>
      </c>
      <c r="I274" s="6" t="s">
        <v>1355</v>
      </c>
      <c r="J274" s="6">
        <v>58.0</v>
      </c>
      <c r="K274" s="6" t="s">
        <v>1356</v>
      </c>
      <c r="L274" s="6" t="s">
        <v>598</v>
      </c>
    </row>
    <row r="275" ht="23.25" customHeight="1">
      <c r="A275" s="6">
        <v>274.0</v>
      </c>
      <c r="B275" s="6" t="s">
        <v>21</v>
      </c>
      <c r="C275" s="6" t="s">
        <v>1357</v>
      </c>
      <c r="D275" s="6" t="s">
        <v>1358</v>
      </c>
      <c r="E275" s="6" t="s">
        <v>1359</v>
      </c>
      <c r="F275" s="6" t="s">
        <v>25</v>
      </c>
      <c r="G275" s="6" t="s">
        <v>64</v>
      </c>
      <c r="H275" s="6" t="s">
        <v>1360</v>
      </c>
      <c r="I275" s="6" t="s">
        <v>1283</v>
      </c>
      <c r="J275" s="6">
        <v>21.0</v>
      </c>
      <c r="K275" s="6" t="s">
        <v>843</v>
      </c>
      <c r="L275" s="6" t="s">
        <v>30</v>
      </c>
    </row>
    <row r="276" ht="34.5" customHeight="1">
      <c r="A276" s="6">
        <v>275.0</v>
      </c>
      <c r="B276" s="6" t="s">
        <v>88</v>
      </c>
      <c r="C276" s="6" t="s">
        <v>1361</v>
      </c>
      <c r="D276" s="6" t="s">
        <v>1362</v>
      </c>
      <c r="E276" s="6" t="s">
        <v>1363</v>
      </c>
      <c r="F276" s="6" t="s">
        <v>25</v>
      </c>
      <c r="G276" s="6" t="s">
        <v>1364</v>
      </c>
      <c r="H276" s="6" t="s">
        <v>1365</v>
      </c>
      <c r="I276" s="6" t="s">
        <v>1366</v>
      </c>
      <c r="J276" s="6">
        <v>41.0</v>
      </c>
      <c r="K276" s="6" t="s">
        <v>1367</v>
      </c>
      <c r="L276" s="6" t="s">
        <v>1368</v>
      </c>
    </row>
    <row r="277" ht="23.25" customHeight="1">
      <c r="A277" s="6">
        <v>276.0</v>
      </c>
      <c r="B277" s="6" t="s">
        <v>88</v>
      </c>
      <c r="C277" s="6" t="s">
        <v>1369</v>
      </c>
      <c r="D277" s="6" t="s">
        <v>1370</v>
      </c>
      <c r="E277" s="6" t="s">
        <v>1371</v>
      </c>
      <c r="F277" s="6" t="s">
        <v>25</v>
      </c>
      <c r="G277" s="6" t="s">
        <v>64</v>
      </c>
      <c r="H277" s="6" t="s">
        <v>1372</v>
      </c>
      <c r="I277" s="6" t="s">
        <v>1366</v>
      </c>
      <c r="J277" s="6">
        <v>73.0</v>
      </c>
      <c r="K277" s="6" t="s">
        <v>500</v>
      </c>
      <c r="L277" s="6" t="s">
        <v>598</v>
      </c>
    </row>
    <row r="278" ht="23.25" customHeight="1">
      <c r="A278" s="6">
        <v>277.0</v>
      </c>
      <c r="B278" s="6" t="s">
        <v>88</v>
      </c>
      <c r="C278" s="6" t="s">
        <v>1373</v>
      </c>
      <c r="D278" s="6" t="s">
        <v>1374</v>
      </c>
      <c r="E278" s="6" t="s">
        <v>1375</v>
      </c>
      <c r="F278" s="6" t="s">
        <v>25</v>
      </c>
      <c r="G278" s="6" t="s">
        <v>64</v>
      </c>
      <c r="H278" s="6" t="s">
        <v>1376</v>
      </c>
      <c r="I278" s="6" t="s">
        <v>1377</v>
      </c>
      <c r="J278" s="6">
        <v>76.0</v>
      </c>
      <c r="K278" s="6" t="s">
        <v>1378</v>
      </c>
      <c r="L278" s="6" t="s">
        <v>598</v>
      </c>
    </row>
    <row r="279" ht="23.25" customHeight="1">
      <c r="A279" s="6">
        <v>278.0</v>
      </c>
      <c r="B279" s="6" t="s">
        <v>88</v>
      </c>
      <c r="C279" s="6" t="s">
        <v>1379</v>
      </c>
      <c r="D279" s="6" t="s">
        <v>1380</v>
      </c>
      <c r="E279" s="6" t="s">
        <v>1381</v>
      </c>
      <c r="F279" s="6" t="s">
        <v>25</v>
      </c>
      <c r="G279" s="6" t="s">
        <v>64</v>
      </c>
      <c r="H279" s="6" t="s">
        <v>1382</v>
      </c>
      <c r="I279" s="6" t="s">
        <v>1377</v>
      </c>
      <c r="J279" s="6">
        <v>83.0</v>
      </c>
      <c r="K279" s="6" t="s">
        <v>1230</v>
      </c>
      <c r="L279" s="6" t="s">
        <v>598</v>
      </c>
    </row>
    <row r="280" ht="23.25" customHeight="1">
      <c r="A280" s="6">
        <v>279.0</v>
      </c>
      <c r="B280" s="6" t="s">
        <v>21</v>
      </c>
      <c r="C280" s="6" t="s">
        <v>1383</v>
      </c>
      <c r="D280" s="6" t="s">
        <v>39</v>
      </c>
      <c r="E280" s="6" t="s">
        <v>1384</v>
      </c>
      <c r="F280" s="6" t="s">
        <v>25</v>
      </c>
      <c r="G280" s="6" t="s">
        <v>64</v>
      </c>
      <c r="H280" s="6" t="s">
        <v>1385</v>
      </c>
      <c r="I280" s="6" t="s">
        <v>1386</v>
      </c>
      <c r="J280" s="6">
        <v>10.0</v>
      </c>
      <c r="K280" s="6" t="s">
        <v>98</v>
      </c>
      <c r="L280" s="6" t="s">
        <v>30</v>
      </c>
    </row>
    <row r="281" ht="23.25" customHeight="1">
      <c r="A281" s="6">
        <v>280.0</v>
      </c>
      <c r="B281" s="6" t="s">
        <v>21</v>
      </c>
      <c r="C281" s="6" t="s">
        <v>1387</v>
      </c>
      <c r="D281" s="6" t="s">
        <v>39</v>
      </c>
      <c r="E281" s="6" t="s">
        <v>1388</v>
      </c>
      <c r="F281" s="6" t="s">
        <v>25</v>
      </c>
      <c r="G281" s="6" t="s">
        <v>64</v>
      </c>
      <c r="H281" s="6" t="s">
        <v>1389</v>
      </c>
      <c r="I281" s="6" t="s">
        <v>1377</v>
      </c>
      <c r="J281" s="6">
        <v>19.0</v>
      </c>
      <c r="K281" s="6" t="s">
        <v>1390</v>
      </c>
      <c r="L281" s="6" t="s">
        <v>30</v>
      </c>
    </row>
    <row r="282" ht="23.25" customHeight="1">
      <c r="A282" s="6">
        <v>281.0</v>
      </c>
      <c r="B282" s="6" t="s">
        <v>21</v>
      </c>
      <c r="C282" s="6" t="s">
        <v>1391</v>
      </c>
      <c r="D282" s="6" t="s">
        <v>39</v>
      </c>
      <c r="E282" s="6" t="s">
        <v>1392</v>
      </c>
      <c r="F282" s="6" t="s">
        <v>25</v>
      </c>
      <c r="G282" s="6" t="s">
        <v>64</v>
      </c>
      <c r="H282" s="6" t="s">
        <v>1393</v>
      </c>
      <c r="I282" s="6" t="s">
        <v>1394</v>
      </c>
      <c r="J282" s="6">
        <v>16.0</v>
      </c>
      <c r="K282" s="6" t="s">
        <v>98</v>
      </c>
      <c r="L282" s="6" t="s">
        <v>30</v>
      </c>
    </row>
    <row r="283" ht="23.25" customHeight="1">
      <c r="A283" s="6">
        <v>282.0</v>
      </c>
      <c r="B283" s="6" t="s">
        <v>21</v>
      </c>
      <c r="C283" s="6" t="s">
        <v>1395</v>
      </c>
      <c r="D283" s="6" t="s">
        <v>1396</v>
      </c>
      <c r="E283" s="6" t="s">
        <v>1397</v>
      </c>
      <c r="F283" s="6" t="s">
        <v>25</v>
      </c>
      <c r="G283" s="6" t="s">
        <v>64</v>
      </c>
      <c r="H283" s="6" t="s">
        <v>1398</v>
      </c>
      <c r="I283" s="6" t="s">
        <v>1399</v>
      </c>
      <c r="J283" s="6">
        <v>7.0</v>
      </c>
      <c r="K283" s="6" t="s">
        <v>98</v>
      </c>
      <c r="L283" s="6" t="s">
        <v>30</v>
      </c>
    </row>
    <row r="284" ht="34.5" customHeight="1">
      <c r="A284" s="6">
        <v>283.0</v>
      </c>
      <c r="B284" s="6" t="s">
        <v>21</v>
      </c>
      <c r="C284" s="6" t="s">
        <v>1400</v>
      </c>
      <c r="D284" s="6" t="s">
        <v>1401</v>
      </c>
      <c r="E284" s="6" t="s">
        <v>1402</v>
      </c>
      <c r="F284" s="6" t="s">
        <v>25</v>
      </c>
      <c r="G284" s="6" t="s">
        <v>1403</v>
      </c>
      <c r="H284" s="6" t="s">
        <v>1404</v>
      </c>
      <c r="I284" s="6" t="s">
        <v>1399</v>
      </c>
      <c r="J284" s="6">
        <v>13.0</v>
      </c>
      <c r="K284" s="6" t="s">
        <v>1405</v>
      </c>
      <c r="L284" s="6" t="s">
        <v>598</v>
      </c>
    </row>
    <row r="285" ht="23.25" customHeight="1">
      <c r="A285" s="6">
        <v>284.0</v>
      </c>
      <c r="B285" s="6" t="s">
        <v>21</v>
      </c>
      <c r="C285" s="6" t="s">
        <v>1406</v>
      </c>
      <c r="D285" s="6" t="s">
        <v>39</v>
      </c>
      <c r="E285" s="6" t="s">
        <v>1407</v>
      </c>
      <c r="F285" s="6" t="s">
        <v>25</v>
      </c>
      <c r="G285" s="6" t="s">
        <v>64</v>
      </c>
      <c r="H285" s="6" t="s">
        <v>1408</v>
      </c>
      <c r="I285" s="6" t="s">
        <v>1399</v>
      </c>
      <c r="J285" s="6">
        <v>23.0</v>
      </c>
      <c r="K285" s="6" t="s">
        <v>230</v>
      </c>
      <c r="L285" s="6" t="s">
        <v>30</v>
      </c>
    </row>
  </sheetData>
  <autoFilter ref="$A$1:$L$285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34.0"/>
    <col customWidth="1" min="3" max="3" width="12.0"/>
    <col customWidth="1" min="4" max="5" width="16.0"/>
    <col customWidth="1" min="6" max="6" width="26.0"/>
    <col customWidth="1" min="7" max="7" width="22.0"/>
    <col customWidth="1" min="8" max="8" width="9.0"/>
    <col customWidth="1" min="9" max="11" width="16.0"/>
    <col customWidth="1" min="12" max="12" width="34.0"/>
  </cols>
  <sheetData>
    <row r="1" ht="26.25" customHeight="1">
      <c r="A1" s="7" t="s">
        <v>521</v>
      </c>
      <c r="B1" s="7" t="s">
        <v>11</v>
      </c>
      <c r="C1" s="7" t="s">
        <v>10</v>
      </c>
      <c r="D1" s="7" t="s">
        <v>17</v>
      </c>
      <c r="E1" s="7" t="s">
        <v>13</v>
      </c>
      <c r="F1" s="7" t="s">
        <v>12</v>
      </c>
      <c r="G1" s="7" t="s">
        <v>1409</v>
      </c>
      <c r="H1" s="7" t="s">
        <v>1410</v>
      </c>
      <c r="I1" s="7" t="s">
        <v>1411</v>
      </c>
      <c r="J1" s="7" t="s">
        <v>1412</v>
      </c>
      <c r="K1" s="7" t="s">
        <v>1413</v>
      </c>
      <c r="L1" s="7" t="s">
        <v>1414</v>
      </c>
    </row>
    <row r="2" ht="15.0" customHeight="1">
      <c r="A2" s="6" t="str">
        <f>Leads!A2</f>
        <v>1</v>
      </c>
      <c r="B2" s="6" t="str">
        <f>Leads!C2</f>
        <v>Ms. Houston Real Estate</v>
      </c>
      <c r="C2" s="6" t="str">
        <f>Leads!B2</f>
        <v>Real Estate</v>
      </c>
      <c r="D2" s="6" t="str">
        <f>Leads!I2</f>
        <v>Houston, TX</v>
      </c>
      <c r="E2" s="6" t="str">
        <f>Leads!E2</f>
        <v>+1 346-327-5787</v>
      </c>
      <c r="F2" s="6" t="str">
        <f>Leads!D2</f>
        <v>Katy To (owner/agent)</v>
      </c>
      <c r="G2" s="6" t="s">
        <v>2</v>
      </c>
      <c r="H2" s="6">
        <v>0.0</v>
      </c>
      <c r="I2" s="6"/>
      <c r="J2" s="6"/>
      <c r="K2" s="6"/>
      <c r="L2" s="6"/>
    </row>
    <row r="3" ht="23.25" customHeight="1">
      <c r="A3" s="6" t="str">
        <f>Leads!A3</f>
        <v>2</v>
      </c>
      <c r="B3" s="6" t="str">
        <f>Leads!C3</f>
        <v>Jay Thomas Real Estate Team</v>
      </c>
      <c r="C3" s="6" t="str">
        <f>Leads!B3</f>
        <v>Real Estate</v>
      </c>
      <c r="D3" s="6" t="str">
        <f>Leads!I3</f>
        <v>Houston, TX</v>
      </c>
      <c r="E3" s="6" t="str">
        <f>Leads!E3</f>
        <v>+1 832-889-5607</v>
      </c>
      <c r="F3" s="6" t="str">
        <f>Leads!D3</f>
        <v>Jay Thomas (team leader)</v>
      </c>
      <c r="G3" s="6" t="s">
        <v>2</v>
      </c>
      <c r="H3" s="6">
        <v>0.0</v>
      </c>
      <c r="I3" s="6"/>
      <c r="J3" s="6"/>
      <c r="K3" s="6"/>
      <c r="L3" s="6"/>
    </row>
    <row r="4" ht="23.25" customHeight="1">
      <c r="A4" s="6" t="str">
        <f>Leads!A4</f>
        <v>3</v>
      </c>
      <c r="B4" s="6" t="str">
        <f>Leads!C4</f>
        <v>City Group Properties - Real Estate Brokerage</v>
      </c>
      <c r="C4" s="6" t="str">
        <f>Leads!B4</f>
        <v>Real Estate</v>
      </c>
      <c r="D4" s="6" t="str">
        <f>Leads!I4</f>
        <v>Houston, TX</v>
      </c>
      <c r="E4" s="6" t="str">
        <f>Leads!E4</f>
        <v>+1 713-843-7284</v>
      </c>
      <c r="F4" s="6" t="str">
        <f>Leads!D4</f>
        <v>Alex DiSaggio (Broker)</v>
      </c>
      <c r="G4" s="6" t="s">
        <v>2</v>
      </c>
      <c r="H4" s="6">
        <v>0.0</v>
      </c>
      <c r="I4" s="6"/>
      <c r="J4" s="6"/>
      <c r="K4" s="6"/>
      <c r="L4" s="6"/>
    </row>
    <row r="5" ht="23.25" customHeight="1">
      <c r="A5" s="6" t="str">
        <f>Leads!A5</f>
        <v>4</v>
      </c>
      <c r="B5" s="6" t="str">
        <f>Leads!C5</f>
        <v>Evan Downey Real Estate Group, eXp Realty</v>
      </c>
      <c r="C5" s="6" t="str">
        <f>Leads!B5</f>
        <v>Real Estate</v>
      </c>
      <c r="D5" s="6" t="str">
        <f>Leads!I5</f>
        <v>Dallas, TX</v>
      </c>
      <c r="E5" s="6" t="str">
        <f>Leads!E5</f>
        <v>+1 214-997-4929</v>
      </c>
      <c r="F5" s="6" t="str">
        <f>Leads!D5</f>
        <v>Evan Downey (Broker Associate)</v>
      </c>
      <c r="G5" s="6" t="s">
        <v>2</v>
      </c>
      <c r="H5" s="6">
        <v>0.0</v>
      </c>
      <c r="I5" s="6"/>
      <c r="J5" s="6"/>
      <c r="K5" s="6"/>
      <c r="L5" s="6"/>
    </row>
    <row r="6" ht="23.25" customHeight="1">
      <c r="A6" s="6" t="str">
        <f>Leads!A6</f>
        <v>5</v>
      </c>
      <c r="B6" s="6" t="str">
        <f>Leads!C6</f>
        <v>Van Poole Properties Group, Keller Williams</v>
      </c>
      <c r="C6" s="6" t="str">
        <f>Leads!B6</f>
        <v>Real Estate</v>
      </c>
      <c r="D6" s="6" t="str">
        <f>Leads!I6</f>
        <v>Dallas, TX</v>
      </c>
      <c r="E6" s="6" t="str">
        <f>Leads!E6</f>
        <v>+1 214-267-9222</v>
      </c>
      <c r="F6" s="6" t="str">
        <f>Leads!D6</f>
        <v>Seychelle Van Poole Engelhard (CEO)</v>
      </c>
      <c r="G6" s="6" t="s">
        <v>2</v>
      </c>
      <c r="H6" s="6">
        <v>0.0</v>
      </c>
      <c r="I6" s="6"/>
      <c r="J6" s="6"/>
      <c r="K6" s="6"/>
      <c r="L6" s="6"/>
    </row>
    <row r="7" ht="23.25" customHeight="1">
      <c r="A7" s="6" t="str">
        <f>Leads!A7</f>
        <v>6</v>
      </c>
      <c r="B7" s="6" t="str">
        <f>Leads!C7</f>
        <v>Dallas &amp; Beyond Real Estate Group</v>
      </c>
      <c r="C7" s="6" t="str">
        <f>Leads!B7</f>
        <v>Real Estate</v>
      </c>
      <c r="D7" s="6" t="str">
        <f>Leads!I7</f>
        <v>Lewisville, TX</v>
      </c>
      <c r="E7" s="6" t="str">
        <f>Leads!E7</f>
        <v>+1 469-451-6330</v>
      </c>
      <c r="F7" s="6" t="str">
        <f>Leads!D7</f>
        <v>Mani &amp; Eve (principals - confirm)</v>
      </c>
      <c r="G7" s="6" t="s">
        <v>2</v>
      </c>
      <c r="H7" s="6">
        <v>0.0</v>
      </c>
      <c r="I7" s="6"/>
      <c r="J7" s="6"/>
      <c r="K7" s="6"/>
      <c r="L7" s="6"/>
    </row>
    <row r="8" ht="15.0" customHeight="1">
      <c r="A8" s="6" t="str">
        <f>Leads!A8</f>
        <v>7</v>
      </c>
      <c r="B8" s="6" t="str">
        <f>Leads!C8</f>
        <v>Method Real Estate Advisors</v>
      </c>
      <c r="C8" s="6" t="str">
        <f>Leads!B8</f>
        <v>Real Estate</v>
      </c>
      <c r="D8" s="6" t="str">
        <f>Leads!I8</f>
        <v>Roswell, GA</v>
      </c>
      <c r="E8" s="6" t="str">
        <f>Leads!E8</f>
        <v>+1 404-585-7355</v>
      </c>
      <c r="F8" s="6" t="str">
        <f>Leads!D8</f>
        <v>Not identified - confirm on call</v>
      </c>
      <c r="G8" s="6" t="s">
        <v>2</v>
      </c>
      <c r="H8" s="6">
        <v>0.0</v>
      </c>
      <c r="I8" s="6"/>
      <c r="J8" s="6"/>
      <c r="K8" s="6"/>
      <c r="L8" s="6"/>
    </row>
    <row r="9" ht="15.0" customHeight="1">
      <c r="A9" s="6" t="str">
        <f>Leads!A9</f>
        <v>8</v>
      </c>
      <c r="B9" s="6" t="str">
        <f>Leads!C9</f>
        <v>EmpowerHome Team Atlanta</v>
      </c>
      <c r="C9" s="6" t="str">
        <f>Leads!B9</f>
        <v>Real Estate</v>
      </c>
      <c r="D9" s="6" t="str">
        <f>Leads!I9</f>
        <v>Atlanta, GA</v>
      </c>
      <c r="E9" s="6" t="str">
        <f>Leads!E9</f>
        <v>+1 404-974-4922</v>
      </c>
      <c r="F9" s="6" t="str">
        <f>Leads!D9</f>
        <v>Not identified - confirm on call</v>
      </c>
      <c r="G9" s="6" t="s">
        <v>2</v>
      </c>
      <c r="H9" s="6">
        <v>0.0</v>
      </c>
      <c r="I9" s="6"/>
      <c r="J9" s="6"/>
      <c r="K9" s="6"/>
      <c r="L9" s="6"/>
    </row>
    <row r="10" ht="23.25" customHeight="1">
      <c r="A10" s="6" t="str">
        <f>Leads!A10</f>
        <v>9</v>
      </c>
      <c r="B10" s="6" t="str">
        <f>Leads!C10</f>
        <v>Anna K Intown Real Estate Team</v>
      </c>
      <c r="C10" s="6" t="str">
        <f>Leads!B10</f>
        <v>Real Estate</v>
      </c>
      <c r="D10" s="6" t="str">
        <f>Leads!I10</f>
        <v>Atlanta, GA</v>
      </c>
      <c r="E10" s="6" t="str">
        <f>Leads!E10</f>
        <v>+1 678-400-9151</v>
      </c>
      <c r="F10" s="6" t="str">
        <f>Leads!D10</f>
        <v>Anna K (team founder - confirm)</v>
      </c>
      <c r="G10" s="6" t="s">
        <v>2</v>
      </c>
      <c r="H10" s="6">
        <v>0.0</v>
      </c>
      <c r="I10" s="6"/>
      <c r="J10" s="6"/>
      <c r="K10" s="6"/>
      <c r="L10" s="6"/>
    </row>
    <row r="11" ht="23.25" customHeight="1">
      <c r="A11" s="6" t="str">
        <f>Leads!A11</f>
        <v>10</v>
      </c>
      <c r="B11" s="6" t="str">
        <f>Leads!C11</f>
        <v>Affordable Real Estate Company</v>
      </c>
      <c r="C11" s="6" t="str">
        <f>Leads!B11</f>
        <v>Real Estate</v>
      </c>
      <c r="D11" s="6" t="str">
        <f>Leads!I11</f>
        <v>Columbus, OH</v>
      </c>
      <c r="E11" s="6" t="str">
        <f>Leads!E11</f>
        <v>+1 614-884-3300</v>
      </c>
      <c r="F11" s="6" t="str">
        <f>Leads!D11</f>
        <v>Vanessa (agent - confirm owner)</v>
      </c>
      <c r="G11" s="6" t="s">
        <v>2</v>
      </c>
      <c r="H11" s="6">
        <v>0.0</v>
      </c>
      <c r="I11" s="6"/>
      <c r="J11" s="6"/>
      <c r="K11" s="6"/>
      <c r="L11" s="6"/>
    </row>
    <row r="12" ht="15.0" customHeight="1">
      <c r="A12" s="6" t="str">
        <f>Leads!A12</f>
        <v>11</v>
      </c>
      <c r="B12" s="6" t="str">
        <f>Leads!C12</f>
        <v>Kendle Real Estate Team</v>
      </c>
      <c r="C12" s="6" t="str">
        <f>Leads!B12</f>
        <v>Real Estate</v>
      </c>
      <c r="D12" s="6" t="str">
        <f>Leads!I12</f>
        <v>Columbus, OH</v>
      </c>
      <c r="E12" s="6" t="str">
        <f>Leads!E12</f>
        <v>+1 614-325-6295</v>
      </c>
      <c r="F12" s="6" t="str">
        <f>Leads!D12</f>
        <v>Ron Kendle (team lead)</v>
      </c>
      <c r="G12" s="6" t="s">
        <v>2</v>
      </c>
      <c r="H12" s="6">
        <v>0.0</v>
      </c>
      <c r="I12" s="6"/>
      <c r="J12" s="6"/>
      <c r="K12" s="6"/>
      <c r="L12" s="6"/>
    </row>
    <row r="13" ht="23.25" customHeight="1">
      <c r="A13" s="6" t="str">
        <f>Leads!A13</f>
        <v>12</v>
      </c>
      <c r="B13" s="6" t="str">
        <f>Leads!C13</f>
        <v>Lee Ritchie Realtor | Ritchie Realty Group</v>
      </c>
      <c r="C13" s="6" t="str">
        <f>Leads!B13</f>
        <v>Real Estate</v>
      </c>
      <c r="D13" s="6" t="str">
        <f>Leads!I13</f>
        <v>Columbus, OH</v>
      </c>
      <c r="E13" s="6" t="str">
        <f>Leads!E13</f>
        <v>+1 614-595-0732</v>
      </c>
      <c r="F13" s="6" t="str">
        <f>Leads!D13</f>
        <v>Lee Ritchie (owner/agent)</v>
      </c>
      <c r="G13" s="6" t="s">
        <v>2</v>
      </c>
      <c r="H13" s="6">
        <v>0.0</v>
      </c>
      <c r="I13" s="6"/>
      <c r="J13" s="6"/>
      <c r="K13" s="6"/>
      <c r="L13" s="6"/>
    </row>
    <row r="14" ht="15.0" customHeight="1">
      <c r="A14" s="6" t="str">
        <f>Leads!A14</f>
        <v>13</v>
      </c>
      <c r="B14" s="6" t="str">
        <f>Leads!C14</f>
        <v>Sell For 1 Percent</v>
      </c>
      <c r="C14" s="6" t="str">
        <f>Leads!B14</f>
        <v>Real Estate</v>
      </c>
      <c r="D14" s="6" t="str">
        <f>Leads!I14</f>
        <v>Columbus, OH</v>
      </c>
      <c r="E14" s="6" t="str">
        <f>Leads!E14</f>
        <v>+1 614-451-6616</v>
      </c>
      <c r="F14" s="6" t="str">
        <f>Leads!D14</f>
        <v>Jaime (agent - confirm owner)</v>
      </c>
      <c r="G14" s="6" t="s">
        <v>2</v>
      </c>
      <c r="H14" s="6">
        <v>0.0</v>
      </c>
      <c r="I14" s="6"/>
      <c r="J14" s="6"/>
      <c r="K14" s="6"/>
      <c r="L14" s="6"/>
    </row>
    <row r="15" ht="15.0" customHeight="1">
      <c r="A15" s="6" t="str">
        <f>Leads!A15</f>
        <v>14</v>
      </c>
      <c r="B15" s="6" t="str">
        <f>Leads!C15</f>
        <v>Aspire Los Angeles</v>
      </c>
      <c r="C15" s="6" t="str">
        <f>Leads!B15</f>
        <v>Real Estate</v>
      </c>
      <c r="D15" s="6" t="str">
        <f>Leads!I15</f>
        <v>Los Angeles, CA</v>
      </c>
      <c r="E15" s="6" t="str">
        <f>Leads!E15</f>
        <v>+1 213-935-0050</v>
      </c>
      <c r="F15" s="6" t="str">
        <f>Leads!D15</f>
        <v>Letty (agent - confirm owner)</v>
      </c>
      <c r="G15" s="6" t="s">
        <v>2</v>
      </c>
      <c r="H15" s="6">
        <v>0.0</v>
      </c>
      <c r="I15" s="6"/>
      <c r="J15" s="6"/>
      <c r="K15" s="6"/>
      <c r="L15" s="6"/>
    </row>
    <row r="16" ht="15.0" customHeight="1">
      <c r="A16" s="6" t="str">
        <f>Leads!A16</f>
        <v>15</v>
      </c>
      <c r="B16" s="6" t="str">
        <f>Leads!C16</f>
        <v>ARIA Properties</v>
      </c>
      <c r="C16" s="6" t="str">
        <f>Leads!B16</f>
        <v>Real Estate</v>
      </c>
      <c r="D16" s="6" t="str">
        <f>Leads!I16</f>
        <v>Los Angeles, CA</v>
      </c>
      <c r="E16" s="6" t="str">
        <f>Leads!E16</f>
        <v>+1 424-355-9088</v>
      </c>
      <c r="F16" s="6" t="str">
        <f>Leads!D16</f>
        <v>Not identified - confirm on call</v>
      </c>
      <c r="G16" s="6" t="s">
        <v>2</v>
      </c>
      <c r="H16" s="6">
        <v>0.0</v>
      </c>
      <c r="I16" s="6"/>
      <c r="J16" s="6"/>
      <c r="K16" s="6"/>
      <c r="L16" s="6"/>
    </row>
    <row r="17" ht="15.0" customHeight="1">
      <c r="A17" s="6" t="str">
        <f>Leads!A17</f>
        <v>16</v>
      </c>
      <c r="B17" s="6" t="str">
        <f>Leads!C17</f>
        <v>Stephanie Younger Group</v>
      </c>
      <c r="C17" s="6" t="str">
        <f>Leads!B17</f>
        <v>Real Estate</v>
      </c>
      <c r="D17" s="6" t="str">
        <f>Leads!I17</f>
        <v>Los Angeles, CA</v>
      </c>
      <c r="E17" s="6" t="str">
        <f>Leads!E17</f>
        <v>+1 310-499-2020</v>
      </c>
      <c r="F17" s="6" t="str">
        <f>Leads!D17</f>
        <v>Stephanie Younger (founder)</v>
      </c>
      <c r="G17" s="6" t="s">
        <v>2</v>
      </c>
      <c r="H17" s="6">
        <v>0.0</v>
      </c>
      <c r="I17" s="6"/>
      <c r="J17" s="6"/>
      <c r="K17" s="6"/>
      <c r="L17" s="6"/>
    </row>
    <row r="18" ht="23.25" customHeight="1">
      <c r="A18" s="6" t="str">
        <f>Leads!A18</f>
        <v>17</v>
      </c>
      <c r="B18" s="6" t="str">
        <f>Leads!C18</f>
        <v>The Agency Cleveland</v>
      </c>
      <c r="C18" s="6" t="str">
        <f>Leads!B18</f>
        <v>Real Estate</v>
      </c>
      <c r="D18" s="6" t="str">
        <f>Leads!I18</f>
        <v>Chagrin Falls, OH</v>
      </c>
      <c r="E18" s="6" t="str">
        <f>Leads!E18</f>
        <v>+1 216-415-7080</v>
      </c>
      <c r="F18" s="6" t="str">
        <f>Leads!D18</f>
        <v>Josh Anton (agent - confirm owner)</v>
      </c>
      <c r="G18" s="6" t="s">
        <v>2</v>
      </c>
      <c r="H18" s="6">
        <v>0.0</v>
      </c>
      <c r="I18" s="6"/>
      <c r="J18" s="6"/>
      <c r="K18" s="6"/>
      <c r="L18" s="6"/>
    </row>
    <row r="19" ht="23.25" customHeight="1">
      <c r="A19" s="6" t="str">
        <f>Leads!A19</f>
        <v>18</v>
      </c>
      <c r="B19" s="6" t="str">
        <f>Leads!C19</f>
        <v>Progressive Urban Real Estate</v>
      </c>
      <c r="C19" s="6" t="str">
        <f>Leads!B19</f>
        <v>Real Estate</v>
      </c>
      <c r="D19" s="6" t="str">
        <f>Leads!I19</f>
        <v>Cleveland, OH</v>
      </c>
      <c r="E19" s="6" t="str">
        <f>Leads!E19</f>
        <v>+1 216-619-9696</v>
      </c>
      <c r="F19" s="6" t="str">
        <f>Leads!D19</f>
        <v>Dave Sharkey (agent - confirm owner)</v>
      </c>
      <c r="G19" s="6" t="s">
        <v>2</v>
      </c>
      <c r="H19" s="6">
        <v>0.0</v>
      </c>
      <c r="I19" s="6"/>
      <c r="J19" s="6"/>
      <c r="K19" s="6"/>
      <c r="L19" s="6"/>
    </row>
    <row r="20" ht="23.25" customHeight="1">
      <c r="A20" s="6" t="str">
        <f>Leads!A20</f>
        <v>19</v>
      </c>
      <c r="B20" s="6" t="str">
        <f>Leads!C20</f>
        <v>Inna Muravin - Engel &amp; Volkers Distinct Real Estate</v>
      </c>
      <c r="C20" s="6" t="str">
        <f>Leads!B20</f>
        <v>Real Estate</v>
      </c>
      <c r="D20" s="6" t="str">
        <f>Leads!I20</f>
        <v>Pepper Pike, OH</v>
      </c>
      <c r="E20" s="6" t="str">
        <f>Leads!E20</f>
        <v>+1 440-521-4555</v>
      </c>
      <c r="F20" s="6" t="str">
        <f>Leads!D20</f>
        <v>Inna Muravin (agent/owner)</v>
      </c>
      <c r="G20" s="6" t="s">
        <v>2</v>
      </c>
      <c r="H20" s="6">
        <v>0.0</v>
      </c>
      <c r="I20" s="6"/>
      <c r="J20" s="6"/>
      <c r="K20" s="6"/>
      <c r="L20" s="6"/>
    </row>
    <row r="21" ht="15.0" customHeight="1">
      <c r="A21" s="6" t="str">
        <f>Leads!A21</f>
        <v>20</v>
      </c>
      <c r="B21" s="6" t="str">
        <f>Leads!C21</f>
        <v>Staci Donegan, Seabolt Real Estate</v>
      </c>
      <c r="C21" s="6" t="str">
        <f>Leads!B21</f>
        <v>Real Estate</v>
      </c>
      <c r="D21" s="6" t="str">
        <f>Leads!I21</f>
        <v>Savannah, GA</v>
      </c>
      <c r="E21" s="6" t="str">
        <f>Leads!E21</f>
        <v>+1 912-247-2052</v>
      </c>
      <c r="F21" s="6" t="str">
        <f>Leads!D21</f>
        <v>Staci Donegan (agent/owner)</v>
      </c>
      <c r="G21" s="6" t="s">
        <v>2</v>
      </c>
      <c r="H21" s="6">
        <v>0.0</v>
      </c>
      <c r="I21" s="6"/>
      <c r="J21" s="6"/>
      <c r="K21" s="6"/>
      <c r="L21" s="6"/>
    </row>
    <row r="22" ht="15.0" customHeight="1">
      <c r="A22" s="6" t="str">
        <f>Leads!A22</f>
        <v>21</v>
      </c>
      <c r="B22" s="6" t="str">
        <f>Leads!C22</f>
        <v>Heather Murphy Real Estate Group</v>
      </c>
      <c r="C22" s="6" t="str">
        <f>Leads!B22</f>
        <v>Real Estate</v>
      </c>
      <c r="D22" s="6" t="str">
        <f>Leads!I22</f>
        <v>Savannah, GA</v>
      </c>
      <c r="E22" s="6" t="str">
        <f>Leads!E22</f>
        <v>+1 912-335-3956</v>
      </c>
      <c r="F22" s="6" t="str">
        <f>Leads!D22</f>
        <v>Heather Murphy (founder)</v>
      </c>
      <c r="G22" s="6" t="s">
        <v>2</v>
      </c>
      <c r="H22" s="6">
        <v>0.0</v>
      </c>
      <c r="I22" s="6"/>
      <c r="J22" s="6"/>
      <c r="K22" s="6"/>
      <c r="L22" s="6"/>
    </row>
    <row r="23" ht="15.0" customHeight="1">
      <c r="A23" s="6" t="str">
        <f>Leads!A23</f>
        <v>22</v>
      </c>
      <c r="B23" s="6" t="str">
        <f>Leads!C23</f>
        <v>McIntosh Realty Team</v>
      </c>
      <c r="C23" s="6" t="str">
        <f>Leads!B23</f>
        <v>Real Estate</v>
      </c>
      <c r="D23" s="6" t="str">
        <f>Leads!I23</f>
        <v>Savannah, GA</v>
      </c>
      <c r="E23" s="6" t="str">
        <f>Leads!E23</f>
        <v>+1 912-436-6551</v>
      </c>
      <c r="F23" s="6" t="str">
        <f>Leads!D23</f>
        <v>Not identified - confirm on call</v>
      </c>
      <c r="G23" s="6" t="s">
        <v>2</v>
      </c>
      <c r="H23" s="6">
        <v>0.0</v>
      </c>
      <c r="I23" s="6"/>
      <c r="J23" s="6"/>
      <c r="K23" s="6"/>
      <c r="L23" s="6"/>
    </row>
    <row r="24" ht="23.25" customHeight="1">
      <c r="A24" s="6" t="str">
        <f>Leads!A24</f>
        <v>23</v>
      </c>
      <c r="B24" s="6" t="str">
        <f>Leads!C24</f>
        <v>Pacific Shore Real Estate</v>
      </c>
      <c r="C24" s="6" t="str">
        <f>Leads!B24</f>
        <v>Real Estate</v>
      </c>
      <c r="D24" s="6" t="str">
        <f>Leads!I24</f>
        <v>Bakersfield, CA</v>
      </c>
      <c r="E24" s="6" t="str">
        <f>Leads!E24</f>
        <v>+1 661-410-7700</v>
      </c>
      <c r="F24" s="6" t="str">
        <f>Leads!D24</f>
        <v>Ryan Stevens (agent - confirm owner)</v>
      </c>
      <c r="G24" s="6" t="s">
        <v>2</v>
      </c>
      <c r="H24" s="6">
        <v>0.0</v>
      </c>
      <c r="I24" s="6"/>
      <c r="J24" s="6"/>
      <c r="K24" s="6"/>
      <c r="L24" s="6"/>
    </row>
    <row r="25" ht="15.0" customHeight="1">
      <c r="A25" s="6" t="str">
        <f>Leads!A25</f>
        <v>24</v>
      </c>
      <c r="B25" s="6" t="str">
        <f>Leads!C25</f>
        <v>Home Expansion Exp Realty Luxury</v>
      </c>
      <c r="C25" s="6" t="str">
        <f>Leads!B25</f>
        <v>Real Estate</v>
      </c>
      <c r="D25" s="6" t="str">
        <f>Leads!I25</f>
        <v>Bakersfield, CA</v>
      </c>
      <c r="E25" s="6" t="str">
        <f>Leads!E25</f>
        <v>+1 661-805-6327</v>
      </c>
      <c r="F25" s="6" t="str">
        <f>Leads!D25</f>
        <v>Maria (agent - confirm owner)</v>
      </c>
      <c r="G25" s="6" t="s">
        <v>2</v>
      </c>
      <c r="H25" s="6">
        <v>0.0</v>
      </c>
      <c r="I25" s="6"/>
      <c r="J25" s="6"/>
      <c r="K25" s="6"/>
      <c r="L25" s="6"/>
    </row>
    <row r="26" ht="15.0" customHeight="1">
      <c r="A26" s="6" t="str">
        <f>Leads!A26</f>
        <v>25</v>
      </c>
      <c r="B26" s="6" t="str">
        <f>Leads!C26</f>
        <v>Ryan Dobbs Realty</v>
      </c>
      <c r="C26" s="6" t="str">
        <f>Leads!B26</f>
        <v>Real Estate</v>
      </c>
      <c r="D26" s="6" t="str">
        <f>Leads!I26</f>
        <v>Bakersfield, CA</v>
      </c>
      <c r="E26" s="6" t="str">
        <f>Leads!E26</f>
        <v>+1 661-462-6866</v>
      </c>
      <c r="F26" s="6" t="str">
        <f>Leads!D26</f>
        <v>Ryan Dobbs (owner)</v>
      </c>
      <c r="G26" s="6" t="s">
        <v>2</v>
      </c>
      <c r="H26" s="6">
        <v>0.0</v>
      </c>
      <c r="I26" s="6"/>
      <c r="J26" s="6"/>
      <c r="K26" s="6"/>
      <c r="L26" s="6"/>
    </row>
    <row r="27" ht="23.25" customHeight="1">
      <c r="A27" s="6" t="str">
        <f>Leads!A27</f>
        <v>26</v>
      </c>
      <c r="B27" s="6" t="str">
        <f>Leads!C27</f>
        <v>J H Walker Trucking Inc</v>
      </c>
      <c r="C27" s="6" t="str">
        <f>Leads!B27</f>
        <v>Logistics</v>
      </c>
      <c r="D27" s="6" t="str">
        <f>Leads!I27</f>
        <v>Houston, TX</v>
      </c>
      <c r="E27" s="6" t="str">
        <f>Leads!E27</f>
        <v>+1 713-688-8400</v>
      </c>
      <c r="F27" s="6" t="str">
        <f>Leads!D27</f>
        <v>Johnny (owner/principal - confirm)</v>
      </c>
      <c r="G27" s="6" t="s">
        <v>2</v>
      </c>
      <c r="H27" s="6">
        <v>0.0</v>
      </c>
      <c r="I27" s="6"/>
      <c r="J27" s="6"/>
      <c r="K27" s="6"/>
      <c r="L27" s="6"/>
    </row>
    <row r="28" ht="23.25" customHeight="1">
      <c r="A28" s="6" t="str">
        <f>Leads!A28</f>
        <v>27</v>
      </c>
      <c r="B28" s="6" t="str">
        <f>Leads!C28</f>
        <v>Cannonball Trucking Inc</v>
      </c>
      <c r="C28" s="6" t="str">
        <f>Leads!B28</f>
        <v>Logistics</v>
      </c>
      <c r="D28" s="6" t="str">
        <f>Leads!I28</f>
        <v>Houston, TX</v>
      </c>
      <c r="E28" s="6" t="str">
        <f>Leads!E28</f>
        <v>+1 713-644-7300</v>
      </c>
      <c r="F28" s="6" t="str">
        <f>Leads!D28</f>
        <v>Stacey Dalton (sales contact - confirm owner)</v>
      </c>
      <c r="G28" s="6" t="s">
        <v>2</v>
      </c>
      <c r="H28" s="6">
        <v>0.0</v>
      </c>
      <c r="I28" s="6"/>
      <c r="J28" s="6"/>
      <c r="K28" s="6"/>
      <c r="L28" s="6"/>
    </row>
    <row r="29" ht="15.0" customHeight="1">
      <c r="A29" s="6" t="str">
        <f>Leads!A29</f>
        <v>28</v>
      </c>
      <c r="B29" s="6" t="str">
        <f>Leads!C29</f>
        <v>Loomis Trucking</v>
      </c>
      <c r="C29" s="6" t="str">
        <f>Leads!B29</f>
        <v>Logistics</v>
      </c>
      <c r="D29" s="6" t="str">
        <f>Leads!I29</f>
        <v>Houston, TX</v>
      </c>
      <c r="E29" s="6" t="str">
        <f>Leads!E29</f>
        <v>+1 713-455-6566</v>
      </c>
      <c r="F29" s="6" t="str">
        <f>Leads!D29</f>
        <v>Not identified - confirm on call</v>
      </c>
      <c r="G29" s="6" t="s">
        <v>2</v>
      </c>
      <c r="H29" s="6">
        <v>0.0</v>
      </c>
      <c r="I29" s="6"/>
      <c r="J29" s="6"/>
      <c r="K29" s="6"/>
      <c r="L29" s="6"/>
    </row>
    <row r="30" ht="23.25" customHeight="1">
      <c r="A30" s="6" t="str">
        <f>Leads!A30</f>
        <v>29</v>
      </c>
      <c r="B30" s="6" t="str">
        <f>Leads!C30</f>
        <v>RamRod Trucking, Inc</v>
      </c>
      <c r="C30" s="6" t="str">
        <f>Leads!B30</f>
        <v>Logistics</v>
      </c>
      <c r="D30" s="6" t="str">
        <f>Leads!I30</f>
        <v>Houston, TX</v>
      </c>
      <c r="E30" s="6" t="str">
        <f>Leads!E30</f>
        <v>+1 713-699-5757</v>
      </c>
      <c r="F30" s="6" t="str">
        <f>Leads!D30</f>
        <v>Richard / Eysla (dispatch - confirm owner)</v>
      </c>
      <c r="G30" s="6" t="s">
        <v>2</v>
      </c>
      <c r="H30" s="6">
        <v>0.0</v>
      </c>
      <c r="I30" s="6"/>
      <c r="J30" s="6"/>
      <c r="K30" s="6"/>
      <c r="L30" s="6"/>
    </row>
    <row r="31" ht="15.0" customHeight="1">
      <c r="A31" s="6" t="str">
        <f>Leads!A31</f>
        <v>30</v>
      </c>
      <c r="B31" s="6" t="str">
        <f>Leads!C31</f>
        <v>Titan Worldwide Logistics</v>
      </c>
      <c r="C31" s="6" t="str">
        <f>Leads!B31</f>
        <v>Logistics</v>
      </c>
      <c r="D31" s="6" t="str">
        <f>Leads!I31</f>
        <v>Dallas, TX</v>
      </c>
      <c r="E31" s="6" t="str">
        <f>Leads!E31</f>
        <v>+1 469-991-0559</v>
      </c>
      <c r="F31" s="6" t="str">
        <f>Leads!D31</f>
        <v>Not identified - confirm on call</v>
      </c>
      <c r="G31" s="6" t="s">
        <v>2</v>
      </c>
      <c r="H31" s="6">
        <v>0.0</v>
      </c>
      <c r="I31" s="6"/>
      <c r="J31" s="6"/>
      <c r="K31" s="6"/>
      <c r="L31" s="6"/>
    </row>
    <row r="32" ht="15.0" customHeight="1">
      <c r="A32" s="6" t="str">
        <f>Leads!A32</f>
        <v>31</v>
      </c>
      <c r="B32" s="6" t="str">
        <f>Leads!C32</f>
        <v>Summit Transportation</v>
      </c>
      <c r="C32" s="6" t="str">
        <f>Leads!B32</f>
        <v>Logistics</v>
      </c>
      <c r="D32" s="6" t="str">
        <f>Leads!I32</f>
        <v>Dallas, TX</v>
      </c>
      <c r="E32" s="6" t="str">
        <f>Leads!E32</f>
        <v>+1 214-631-3080</v>
      </c>
      <c r="F32" s="6" t="str">
        <f>Leads!D32</f>
        <v>Not identified - confirm on call</v>
      </c>
      <c r="G32" s="6" t="s">
        <v>2</v>
      </c>
      <c r="H32" s="6">
        <v>0.0</v>
      </c>
      <c r="I32" s="6"/>
      <c r="J32" s="6"/>
      <c r="K32" s="6"/>
      <c r="L32" s="6"/>
    </row>
    <row r="33" ht="15.0" customHeight="1">
      <c r="A33" s="6" t="str">
        <f>Leads!A33</f>
        <v>32</v>
      </c>
      <c r="B33" s="6" t="str">
        <f>Leads!C33</f>
        <v>Freedom Freight Services</v>
      </c>
      <c r="C33" s="6" t="str">
        <f>Leads!B33</f>
        <v>Logistics</v>
      </c>
      <c r="D33" s="6" t="str">
        <f>Leads!I33</f>
        <v>Atlanta, GA</v>
      </c>
      <c r="E33" s="6" t="str">
        <f>Leads!E33</f>
        <v>+1 404-699-2700</v>
      </c>
      <c r="F33" s="6" t="str">
        <f>Leads!D33</f>
        <v>Not identified - confirm on call</v>
      </c>
      <c r="G33" s="6" t="s">
        <v>2</v>
      </c>
      <c r="H33" s="6">
        <v>0.0</v>
      </c>
      <c r="I33" s="6"/>
      <c r="J33" s="6"/>
      <c r="K33" s="6"/>
      <c r="L33" s="6"/>
    </row>
    <row r="34" ht="15.0" customHeight="1">
      <c r="A34" s="6" t="str">
        <f>Leads!A34</f>
        <v>33</v>
      </c>
      <c r="B34" s="6" t="str">
        <f>Leads!C34</f>
        <v>ABC Trucking Logistics</v>
      </c>
      <c r="C34" s="6" t="str">
        <f>Leads!B34</f>
        <v>Logistics</v>
      </c>
      <c r="D34" s="6" t="str">
        <f>Leads!I34</f>
        <v>Atlanta, GA</v>
      </c>
      <c r="E34" s="6" t="str">
        <f>Leads!E34</f>
        <v>+1 770-986-8288</v>
      </c>
      <c r="F34" s="6" t="str">
        <f>Leads!D34</f>
        <v>Not identified - confirm on call</v>
      </c>
      <c r="G34" s="6" t="s">
        <v>2</v>
      </c>
      <c r="H34" s="6">
        <v>0.0</v>
      </c>
      <c r="I34" s="6"/>
      <c r="J34" s="6"/>
      <c r="K34" s="6"/>
      <c r="L34" s="6"/>
    </row>
    <row r="35" ht="15.0" customHeight="1">
      <c r="A35" s="6" t="str">
        <f>Leads!A35</f>
        <v>34</v>
      </c>
      <c r="B35" s="6" t="str">
        <f>Leads!C35</f>
        <v>Silvan Trucking Company of Ohio</v>
      </c>
      <c r="C35" s="6" t="str">
        <f>Leads!B35</f>
        <v>Logistics</v>
      </c>
      <c r="D35" s="6" t="str">
        <f>Leads!I35</f>
        <v>Columbus, OH</v>
      </c>
      <c r="E35" s="6" t="str">
        <f>Leads!E35</f>
        <v>+1 614-272-8163</v>
      </c>
      <c r="F35" s="6" t="str">
        <f>Leads!D35</f>
        <v>Not identified - confirm on call</v>
      </c>
      <c r="G35" s="6" t="s">
        <v>2</v>
      </c>
      <c r="H35" s="6">
        <v>0.0</v>
      </c>
      <c r="I35" s="6"/>
      <c r="J35" s="6"/>
      <c r="K35" s="6"/>
      <c r="L35" s="6"/>
    </row>
    <row r="36" ht="23.25" customHeight="1">
      <c r="A36" s="6" t="str">
        <f>Leads!A36</f>
        <v>35</v>
      </c>
      <c r="B36" s="6" t="str">
        <f>Leads!C36</f>
        <v>Tesla Logistics Inc</v>
      </c>
      <c r="C36" s="6" t="str">
        <f>Leads!B36</f>
        <v>Logistics</v>
      </c>
      <c r="D36" s="6" t="str">
        <f>Leads!I36</f>
        <v>Columbus, OH</v>
      </c>
      <c r="E36" s="6" t="str">
        <f>Leads!E36</f>
        <v>+1 614-407-1079</v>
      </c>
      <c r="F36" s="6" t="str">
        <f>Leads!D36</f>
        <v>Angela (dispatcher - confirm owner)</v>
      </c>
      <c r="G36" s="6" t="s">
        <v>2</v>
      </c>
      <c r="H36" s="6">
        <v>0.0</v>
      </c>
      <c r="I36" s="6"/>
      <c r="J36" s="6"/>
      <c r="K36" s="6"/>
      <c r="L36" s="6"/>
    </row>
    <row r="37" ht="15.0" customHeight="1">
      <c r="A37" s="6" t="str">
        <f>Leads!A37</f>
        <v>36</v>
      </c>
      <c r="B37" s="6" t="str">
        <f>Leads!C37</f>
        <v>Abdi Transport Inc</v>
      </c>
      <c r="C37" s="6" t="str">
        <f>Leads!B37</f>
        <v>Logistics</v>
      </c>
      <c r="D37" s="6" t="str">
        <f>Leads!I37</f>
        <v>Columbus, OH</v>
      </c>
      <c r="E37" s="6" t="str">
        <f>Leads!E37</f>
        <v>+1 614-591-4080</v>
      </c>
      <c r="F37" s="6" t="str">
        <f>Leads!D37</f>
        <v>Abdi Aden (President) / Abdirahman Farah (VP)</v>
      </c>
      <c r="G37" s="6" t="s">
        <v>2</v>
      </c>
      <c r="H37" s="6">
        <v>0.0</v>
      </c>
      <c r="I37" s="6"/>
      <c r="J37" s="6"/>
      <c r="K37" s="6"/>
      <c r="L37" s="6"/>
    </row>
    <row r="38" ht="23.25" customHeight="1">
      <c r="A38" s="6" t="str">
        <f>Leads!A38</f>
        <v>37</v>
      </c>
      <c r="B38" s="6" t="str">
        <f>Leads!C38</f>
        <v>Cleveland Delivery &amp; Distribution</v>
      </c>
      <c r="C38" s="6" t="str">
        <f>Leads!B38</f>
        <v>Logistics</v>
      </c>
      <c r="D38" s="6" t="str">
        <f>Leads!I38</f>
        <v>Cleveland, OH</v>
      </c>
      <c r="E38" s="6" t="str">
        <f>Leads!E38</f>
        <v>+1 216-641-7793</v>
      </c>
      <c r="F38" s="6" t="str">
        <f>Leads!D38</f>
        <v>T. Wagner (staff - confirm owner)</v>
      </c>
      <c r="G38" s="6" t="s">
        <v>2</v>
      </c>
      <c r="H38" s="6">
        <v>0.0</v>
      </c>
      <c r="I38" s="6"/>
      <c r="J38" s="6"/>
      <c r="K38" s="6"/>
      <c r="L38" s="6"/>
    </row>
    <row r="39" ht="15.0" customHeight="1">
      <c r="A39" s="6" t="str">
        <f>Leads!A39</f>
        <v>38</v>
      </c>
      <c r="B39" s="6" t="str">
        <f>Leads!C39</f>
        <v>Z Brothers Trucking LLC</v>
      </c>
      <c r="C39" s="6" t="str">
        <f>Leads!B39</f>
        <v>Logistics</v>
      </c>
      <c r="D39" s="6" t="str">
        <f>Leads!I39</f>
        <v>Cleveland, OH</v>
      </c>
      <c r="E39" s="6" t="str">
        <f>Leads!E39</f>
        <v>+1 216-916-9850</v>
      </c>
      <c r="F39" s="6" t="str">
        <f>Leads!D39</f>
        <v>Andre and Roman (owners)</v>
      </c>
      <c r="G39" s="6" t="s">
        <v>2</v>
      </c>
      <c r="H39" s="6">
        <v>0.0</v>
      </c>
      <c r="I39" s="6"/>
      <c r="J39" s="6"/>
      <c r="K39" s="6"/>
      <c r="L39" s="6"/>
    </row>
    <row r="40" ht="15.0" customHeight="1">
      <c r="A40" s="6" t="str">
        <f>Leads!A40</f>
        <v>39</v>
      </c>
      <c r="B40" s="6" t="str">
        <f>Leads!C40</f>
        <v>Cleveland Trucking</v>
      </c>
      <c r="C40" s="6" t="str">
        <f>Leads!B40</f>
        <v>Logistics</v>
      </c>
      <c r="D40" s="6" t="str">
        <f>Leads!I40</f>
        <v>Cleveland, OH</v>
      </c>
      <c r="E40" s="6" t="str">
        <f>Leads!E40</f>
        <v>+1 216-663-2527</v>
      </c>
      <c r="F40" s="6" t="str">
        <f>Leads!D40</f>
        <v>Not identified - confirm on call</v>
      </c>
      <c r="G40" s="6" t="s">
        <v>2</v>
      </c>
      <c r="H40" s="6">
        <v>0.0</v>
      </c>
      <c r="I40" s="6"/>
      <c r="J40" s="6"/>
      <c r="K40" s="6"/>
      <c r="L40" s="6"/>
    </row>
    <row r="41" ht="23.25" customHeight="1">
      <c r="A41" s="6" t="str">
        <f>Leads!A41</f>
        <v>40</v>
      </c>
      <c r="B41" s="6" t="str">
        <f>Leads!C41</f>
        <v>Laverde Trucking Inc.</v>
      </c>
      <c r="C41" s="6" t="str">
        <f>Leads!B41</f>
        <v>Logistics</v>
      </c>
      <c r="D41" s="6" t="str">
        <f>Leads!I41</f>
        <v>Los Angeles, CA</v>
      </c>
      <c r="E41" s="6" t="str">
        <f>Leads!E41</f>
        <v>+1 310-671-6170</v>
      </c>
      <c r="F41" s="6" t="str">
        <f>Leads!D41</f>
        <v>Dylan / Juan (office staff - confirm owner)</v>
      </c>
      <c r="G41" s="6" t="s">
        <v>2</v>
      </c>
      <c r="H41" s="6">
        <v>0.0</v>
      </c>
      <c r="I41" s="6"/>
      <c r="J41" s="6"/>
      <c r="K41" s="6"/>
      <c r="L41" s="6"/>
    </row>
    <row r="42" ht="15.0" customHeight="1">
      <c r="A42" s="6" t="str">
        <f>Leads!A42</f>
        <v>41</v>
      </c>
      <c r="B42" s="6" t="str">
        <f>Leads!C42</f>
        <v>Best Yet Express</v>
      </c>
      <c r="C42" s="6" t="str">
        <f>Leads!B42</f>
        <v>Logistics</v>
      </c>
      <c r="D42" s="6" t="str">
        <f>Leads!I42</f>
        <v>Gardena, CA</v>
      </c>
      <c r="E42" s="6" t="str">
        <f>Leads!E42</f>
        <v>+1 310-323-1880</v>
      </c>
      <c r="F42" s="6" t="str">
        <f>Leads!D42</f>
        <v>Not identified - confirm on call</v>
      </c>
      <c r="G42" s="6" t="s">
        <v>2</v>
      </c>
      <c r="H42" s="6">
        <v>0.0</v>
      </c>
      <c r="I42" s="6"/>
      <c r="J42" s="6"/>
      <c r="K42" s="6"/>
      <c r="L42" s="6"/>
    </row>
    <row r="43" ht="15.0" customHeight="1">
      <c r="A43" s="6" t="str">
        <f>Leads!A43</f>
        <v>42</v>
      </c>
      <c r="B43" s="6" t="str">
        <f>Leads!C43</f>
        <v>Paragon Trucking</v>
      </c>
      <c r="C43" s="6" t="str">
        <f>Leads!B43</f>
        <v>Logistics</v>
      </c>
      <c r="D43" s="6" t="str">
        <f>Leads!I43</f>
        <v>Vernon, CA</v>
      </c>
      <c r="E43" s="6" t="str">
        <f>Leads!E43</f>
        <v>+1 323-586-0406</v>
      </c>
      <c r="F43" s="6" t="str">
        <f>Leads!D43</f>
        <v>Bob (owner)</v>
      </c>
      <c r="G43" s="6" t="s">
        <v>2</v>
      </c>
      <c r="H43" s="6">
        <v>0.0</v>
      </c>
      <c r="I43" s="6"/>
      <c r="J43" s="6"/>
      <c r="K43" s="6"/>
      <c r="L43" s="6"/>
    </row>
    <row r="44" ht="15.0" customHeight="1">
      <c r="A44" s="6" t="str">
        <f>Leads!A44</f>
        <v>43</v>
      </c>
      <c r="B44" s="6" t="str">
        <f>Leads!C44</f>
        <v>Non Stop Transportation Inc</v>
      </c>
      <c r="C44" s="6" t="str">
        <f>Leads!B44</f>
        <v>Logistics</v>
      </c>
      <c r="D44" s="6" t="str">
        <f>Leads!I44</f>
        <v>Paramount, CA</v>
      </c>
      <c r="E44" s="6" t="str">
        <f>Leads!E44</f>
        <v>+1 562-630-1726</v>
      </c>
      <c r="F44" s="6" t="str">
        <f>Leads!D44</f>
        <v>Not identified - confirm on call</v>
      </c>
      <c r="G44" s="6" t="s">
        <v>2</v>
      </c>
      <c r="H44" s="6">
        <v>0.0</v>
      </c>
      <c r="I44" s="6"/>
      <c r="J44" s="6"/>
      <c r="K44" s="6"/>
      <c r="L44" s="6"/>
    </row>
    <row r="45" ht="15.0" customHeight="1">
      <c r="A45" s="6" t="str">
        <f>Leads!A45</f>
        <v>44</v>
      </c>
      <c r="B45" s="6" t="str">
        <f>Leads!C45</f>
        <v>FBT Inc.</v>
      </c>
      <c r="C45" s="6" t="str">
        <f>Leads!B45</f>
        <v>Logistics</v>
      </c>
      <c r="D45" s="6" t="str">
        <f>Leads!I45</f>
        <v>Bakersfield, CA</v>
      </c>
      <c r="E45" s="6" t="str">
        <f>Leads!E45</f>
        <v>+1 661-952-9195</v>
      </c>
      <c r="F45" s="6" t="str">
        <f>Leads!D45</f>
        <v>Not identified - confirm on call</v>
      </c>
      <c r="G45" s="6" t="s">
        <v>2</v>
      </c>
      <c r="H45" s="6">
        <v>0.0</v>
      </c>
      <c r="I45" s="6"/>
      <c r="J45" s="6"/>
      <c r="K45" s="6"/>
      <c r="L45" s="6"/>
    </row>
    <row r="46" ht="15.0" customHeight="1">
      <c r="A46" s="6" t="str">
        <f>Leads!A46</f>
        <v>45</v>
      </c>
      <c r="B46" s="6" t="str">
        <f>Leads!C46</f>
        <v>Tactical Trucking Solutions, LLC</v>
      </c>
      <c r="C46" s="6" t="str">
        <f>Leads!B46</f>
        <v>Logistics</v>
      </c>
      <c r="D46" s="6" t="str">
        <f>Leads!I46</f>
        <v>Bakersfield, CA</v>
      </c>
      <c r="E46" s="6" t="str">
        <f>Leads!E46</f>
        <v>+1 661-487-4147</v>
      </c>
      <c r="F46" s="6" t="str">
        <f>Leads!D46</f>
        <v>Joe (owner)</v>
      </c>
      <c r="G46" s="6" t="s">
        <v>2</v>
      </c>
      <c r="H46" s="6">
        <v>0.0</v>
      </c>
      <c r="I46" s="6"/>
      <c r="J46" s="6"/>
      <c r="K46" s="6"/>
      <c r="L46" s="6"/>
    </row>
    <row r="47" ht="23.25" customHeight="1">
      <c r="A47" s="6" t="str">
        <f>Leads!A47</f>
        <v>46</v>
      </c>
      <c r="B47" s="6" t="str">
        <f>Leads!C47</f>
        <v>Roadies INC - Trucking Company In Bakersfield</v>
      </c>
      <c r="C47" s="6" t="str">
        <f>Leads!B47</f>
        <v>Logistics</v>
      </c>
      <c r="D47" s="6" t="str">
        <f>Leads!I47</f>
        <v>Bakersfield, CA</v>
      </c>
      <c r="E47" s="6" t="str">
        <f>Leads!E47</f>
        <v>+1 661-214-8880</v>
      </c>
      <c r="F47" s="6" t="str">
        <f>Leads!D47</f>
        <v>Not identified - confirm on call</v>
      </c>
      <c r="G47" s="6" t="s">
        <v>2</v>
      </c>
      <c r="H47" s="6">
        <v>0.0</v>
      </c>
      <c r="I47" s="6"/>
      <c r="J47" s="6"/>
      <c r="K47" s="6"/>
      <c r="L47" s="6"/>
    </row>
    <row r="48" ht="23.25" customHeight="1">
      <c r="A48" s="6" t="str">
        <f>Leads!A48</f>
        <v>47</v>
      </c>
      <c r="B48" s="6" t="str">
        <f>Leads!C48</f>
        <v>Chemical South Transport</v>
      </c>
      <c r="C48" s="6" t="str">
        <f>Leads!B48</f>
        <v>Logistics</v>
      </c>
      <c r="D48" s="6" t="str">
        <f>Leads!I48</f>
        <v>Savannah, GA</v>
      </c>
      <c r="E48" s="6" t="str">
        <f>Leads!E48</f>
        <v>+1 912-966-1000</v>
      </c>
      <c r="F48" s="6" t="str">
        <f>Leads!D48</f>
        <v>Mike Gale (leadership - confirm owner)</v>
      </c>
      <c r="G48" s="6" t="s">
        <v>2</v>
      </c>
      <c r="H48" s="6">
        <v>0.0</v>
      </c>
      <c r="I48" s="6"/>
      <c r="J48" s="6"/>
      <c r="K48" s="6"/>
      <c r="L48" s="6"/>
    </row>
    <row r="49" ht="23.25" customHeight="1">
      <c r="A49" s="6" t="str">
        <f>Leads!A49</f>
        <v>48</v>
      </c>
      <c r="B49" s="6" t="str">
        <f>Leads!C49</f>
        <v>Ace Drayage - Savannah Intermodal Trucking</v>
      </c>
      <c r="C49" s="6" t="str">
        <f>Leads!B49</f>
        <v>Logistics</v>
      </c>
      <c r="D49" s="6" t="str">
        <f>Leads!I49</f>
        <v>Garden City, GA</v>
      </c>
      <c r="E49" s="6" t="str">
        <f>Leads!E49</f>
        <v>+1 912-964-0037</v>
      </c>
      <c r="F49" s="6" t="str">
        <f>Leads!D49</f>
        <v>Melissa / Stephanie (staff - confirm owner)</v>
      </c>
      <c r="G49" s="6" t="s">
        <v>2</v>
      </c>
      <c r="H49" s="6">
        <v>0.0</v>
      </c>
      <c r="I49" s="6"/>
      <c r="J49" s="6"/>
      <c r="K49" s="6"/>
      <c r="L49" s="6"/>
    </row>
    <row r="50" ht="15.0" customHeight="1">
      <c r="A50" s="6" t="str">
        <f>Leads!A50</f>
        <v>49</v>
      </c>
      <c r="B50" s="6" t="str">
        <f>Leads!C50</f>
        <v>All Points Transport Savannah GA</v>
      </c>
      <c r="C50" s="6" t="str">
        <f>Leads!B50</f>
        <v>Logistics</v>
      </c>
      <c r="D50" s="6" t="str">
        <f>Leads!I50</f>
        <v>Savannah, GA</v>
      </c>
      <c r="E50" s="6" t="str">
        <f>Leads!E50</f>
        <v>+1 912-964-7238</v>
      </c>
      <c r="F50" s="6" t="str">
        <f>Leads!D50</f>
        <v>Not identified - confirm on call</v>
      </c>
      <c r="G50" s="6" t="s">
        <v>2</v>
      </c>
      <c r="H50" s="6">
        <v>0.0</v>
      </c>
      <c r="I50" s="6"/>
      <c r="J50" s="6"/>
      <c r="K50" s="6"/>
      <c r="L50" s="6"/>
    </row>
    <row r="51" ht="15.0" customHeight="1">
      <c r="A51" s="6" t="str">
        <f>Leads!A51</f>
        <v>50</v>
      </c>
      <c r="B51" s="6" t="str">
        <f>Leads!C51</f>
        <v>The Hesles Agency - Mario Hesles</v>
      </c>
      <c r="C51" s="6" t="str">
        <f>Leads!B51</f>
        <v>Real Estate</v>
      </c>
      <c r="D51" s="6" t="str">
        <f>Leads!I51</f>
        <v>San Antonio, TX</v>
      </c>
      <c r="E51" s="6" t="str">
        <f>Leads!E51</f>
        <v>+1 210-908-6567</v>
      </c>
      <c r="F51" s="6" t="str">
        <f>Leads!D51</f>
        <v>Mario Hesles (owner)</v>
      </c>
      <c r="G51" s="6" t="s">
        <v>2</v>
      </c>
      <c r="H51" s="6">
        <v>0.0</v>
      </c>
      <c r="I51" s="6"/>
      <c r="J51" s="6"/>
      <c r="K51" s="6"/>
      <c r="L51" s="6"/>
    </row>
    <row r="52" ht="15.0" customHeight="1">
      <c r="A52" s="6" t="str">
        <f>Leads!A52</f>
        <v>51</v>
      </c>
      <c r="B52" s="6" t="str">
        <f>Leads!C52</f>
        <v>Devora Realty</v>
      </c>
      <c r="C52" s="6" t="str">
        <f>Leads!B52</f>
        <v>Real Estate</v>
      </c>
      <c r="D52" s="6" t="str">
        <f>Leads!I52</f>
        <v>Austin, TX</v>
      </c>
      <c r="E52" s="6" t="str">
        <f>Leads!E52</f>
        <v>+1 512-400-4248</v>
      </c>
      <c r="F52" s="6" t="str">
        <f>Leads!D52</f>
        <v>Johnny Devora (owner)</v>
      </c>
      <c r="G52" s="6" t="s">
        <v>2</v>
      </c>
      <c r="H52" s="6">
        <v>0.0</v>
      </c>
      <c r="I52" s="6"/>
      <c r="J52" s="6"/>
      <c r="K52" s="6"/>
      <c r="L52" s="6"/>
    </row>
    <row r="53" ht="15.0" customHeight="1">
      <c r="A53" s="6" t="str">
        <f>Leads!A53</f>
        <v>52</v>
      </c>
      <c r="B53" s="6" t="str">
        <f>Leads!C53</f>
        <v>The Ashton Agency</v>
      </c>
      <c r="C53" s="6" t="str">
        <f>Leads!B53</f>
        <v>Real Estate</v>
      </c>
      <c r="D53" s="6" t="str">
        <f>Leads!I53</f>
        <v>Fort Worth, TX</v>
      </c>
      <c r="E53" s="6" t="str">
        <f>Leads!E53</f>
        <v>+1 817-266-1009</v>
      </c>
      <c r="F53" s="6" t="str">
        <f>Leads!D53</f>
        <v>Not identified - confirm on call</v>
      </c>
      <c r="G53" s="6" t="s">
        <v>2</v>
      </c>
      <c r="H53" s="6">
        <v>0.0</v>
      </c>
      <c r="I53" s="6"/>
      <c r="J53" s="6"/>
      <c r="K53" s="6"/>
      <c r="L53" s="6"/>
    </row>
    <row r="54" ht="15.0" customHeight="1">
      <c r="A54" s="6" t="str">
        <f>Leads!A54</f>
        <v>53</v>
      </c>
      <c r="B54" s="6" t="str">
        <f>Leads!C54</f>
        <v>Fort Worth Focused Real Estate</v>
      </c>
      <c r="C54" s="6" t="str">
        <f>Leads!B54</f>
        <v>Real Estate</v>
      </c>
      <c r="D54" s="6" t="str">
        <f>Leads!I54</f>
        <v>Fort Worth, TX</v>
      </c>
      <c r="E54" s="6" t="str">
        <f>Leads!E54</f>
        <v>+1 817-989-6520</v>
      </c>
      <c r="F54" s="6" t="str">
        <f>Leads!D54</f>
        <v>Not identified - confirm on call</v>
      </c>
      <c r="G54" s="6" t="s">
        <v>2</v>
      </c>
      <c r="H54" s="6">
        <v>0.0</v>
      </c>
      <c r="I54" s="6"/>
      <c r="J54" s="6"/>
      <c r="K54" s="6"/>
      <c r="L54" s="6"/>
    </row>
    <row r="55" ht="23.25" customHeight="1">
      <c r="A55" s="6" t="str">
        <f>Leads!A55</f>
        <v>54</v>
      </c>
      <c r="B55" s="6" t="str">
        <f>Leads!C55</f>
        <v>Augusta Real Estate Co.</v>
      </c>
      <c r="C55" s="6" t="str">
        <f>Leads!B55</f>
        <v>Real Estate</v>
      </c>
      <c r="D55" s="6" t="str">
        <f>Leads!I55</f>
        <v>Augusta, GA</v>
      </c>
      <c r="E55" s="6" t="str">
        <f>Leads!E55</f>
        <v>+1 706-619-1259</v>
      </c>
      <c r="F55" s="6" t="str">
        <f>Leads!D55</f>
        <v>Todd &amp; Laura Lamb (agents - confirm owner)</v>
      </c>
      <c r="G55" s="6" t="s">
        <v>2</v>
      </c>
      <c r="H55" s="6">
        <v>0.0</v>
      </c>
      <c r="I55" s="6"/>
      <c r="J55" s="6"/>
      <c r="K55" s="6"/>
      <c r="L55" s="6"/>
    </row>
    <row r="56" ht="23.25" customHeight="1">
      <c r="A56" s="6" t="str">
        <f>Leads!A56</f>
        <v>55</v>
      </c>
      <c r="B56" s="6" t="str">
        <f>Leads!C56</f>
        <v>The Corujo Team | Summer House Realty</v>
      </c>
      <c r="C56" s="6" t="str">
        <f>Leads!B56</f>
        <v>Real Estate</v>
      </c>
      <c r="D56" s="6" t="str">
        <f>Leads!I56</f>
        <v>Augusta, GA</v>
      </c>
      <c r="E56" s="6" t="str">
        <f>Leads!E56</f>
        <v>+1 706-495-9999</v>
      </c>
      <c r="F56" s="6" t="str">
        <f>Leads!D56</f>
        <v>Tony &amp; Sam Corujo (team leads - confirm)</v>
      </c>
      <c r="G56" s="6" t="s">
        <v>2</v>
      </c>
      <c r="H56" s="6">
        <v>0.0</v>
      </c>
      <c r="I56" s="6"/>
      <c r="J56" s="6"/>
      <c r="K56" s="6"/>
      <c r="L56" s="6"/>
    </row>
    <row r="57" ht="23.25" customHeight="1">
      <c r="A57" s="6" t="str">
        <f>Leads!A57</f>
        <v>56</v>
      </c>
      <c r="B57" s="6" t="str">
        <f>Leads!C57</f>
        <v>Southern Homes Group Real Estate Company</v>
      </c>
      <c r="C57" s="6" t="str">
        <f>Leads!B57</f>
        <v>Real Estate</v>
      </c>
      <c r="D57" s="6" t="str">
        <f>Leads!I57</f>
        <v>Augusta, GA</v>
      </c>
      <c r="E57" s="6" t="str">
        <f>Leads!E57</f>
        <v>+1 706-250-0235</v>
      </c>
      <c r="F57" s="6" t="str">
        <f>Leads!D57</f>
        <v>Not identified - confirm on call</v>
      </c>
      <c r="G57" s="6" t="s">
        <v>2</v>
      </c>
      <c r="H57" s="6">
        <v>0.0</v>
      </c>
      <c r="I57" s="6"/>
      <c r="J57" s="6"/>
      <c r="K57" s="6"/>
      <c r="L57" s="6"/>
    </row>
    <row r="58" ht="23.25" customHeight="1">
      <c r="A58" s="6" t="str">
        <f>Leads!A58</f>
        <v>57</v>
      </c>
      <c r="B58" s="6" t="str">
        <f>Leads!C58</f>
        <v>Ann Marie McManus, McManus Properties at Meybohm</v>
      </c>
      <c r="C58" s="6" t="str">
        <f>Leads!B58</f>
        <v>Real Estate</v>
      </c>
      <c r="D58" s="6" t="str">
        <f>Leads!I58</f>
        <v>Augusta, GA</v>
      </c>
      <c r="E58" s="6" t="str">
        <f>Leads!E58</f>
        <v>+1 706-481-3800</v>
      </c>
      <c r="F58" s="6" t="str">
        <f>Leads!D58</f>
        <v>Ann Marie McManus (owner/agent)</v>
      </c>
      <c r="G58" s="6" t="s">
        <v>2</v>
      </c>
      <c r="H58" s="6">
        <v>0.0</v>
      </c>
      <c r="I58" s="6"/>
      <c r="J58" s="6"/>
      <c r="K58" s="6"/>
      <c r="L58" s="6"/>
    </row>
    <row r="59" ht="23.25" customHeight="1">
      <c r="A59" s="6" t="str">
        <f>Leads!A59</f>
        <v>58</v>
      </c>
      <c r="B59" s="6" t="str">
        <f>Leads!C59</f>
        <v>At Home Macon Real Estate Consulting</v>
      </c>
      <c r="C59" s="6" t="str">
        <f>Leads!B59</f>
        <v>Real Estate</v>
      </c>
      <c r="D59" s="6" t="str">
        <f>Leads!I59</f>
        <v>Macon, GA</v>
      </c>
      <c r="E59" s="6" t="str">
        <f>Leads!E59</f>
        <v>+1 478-957-9813</v>
      </c>
      <c r="F59" s="6" t="str">
        <f>Leads!D59</f>
        <v>Matthew Griffin (agent/owner - confirm)</v>
      </c>
      <c r="G59" s="6" t="s">
        <v>2</v>
      </c>
      <c r="H59" s="6">
        <v>0.0</v>
      </c>
      <c r="I59" s="6"/>
      <c r="J59" s="6"/>
      <c r="K59" s="6"/>
      <c r="L59" s="6"/>
    </row>
    <row r="60" ht="15.0" customHeight="1">
      <c r="A60" s="6" t="str">
        <f>Leads!A60</f>
        <v>59</v>
      </c>
      <c r="B60" s="6" t="str">
        <f>Leads!C60</f>
        <v>Rivoli Realty</v>
      </c>
      <c r="C60" s="6" t="str">
        <f>Leads!B60</f>
        <v>Real Estate</v>
      </c>
      <c r="D60" s="6" t="str">
        <f>Leads!I60</f>
        <v>Macon, GA</v>
      </c>
      <c r="E60" s="6" t="str">
        <f>Leads!E60</f>
        <v>+1 478-477-6528</v>
      </c>
      <c r="F60" s="6" t="str">
        <f>Leads!D60</f>
        <v>Not identified - confirm on call</v>
      </c>
      <c r="G60" s="6" t="s">
        <v>2</v>
      </c>
      <c r="H60" s="6">
        <v>0.0</v>
      </c>
      <c r="I60" s="6"/>
      <c r="J60" s="6"/>
      <c r="K60" s="6"/>
      <c r="L60" s="6"/>
    </row>
    <row r="61" ht="15.0" customHeight="1">
      <c r="A61" s="6" t="str">
        <f>Leads!A61</f>
        <v>60</v>
      </c>
      <c r="B61" s="6" t="str">
        <f>Leads!C61</f>
        <v>Say Yes 2 The Address Realty</v>
      </c>
      <c r="C61" s="6" t="str">
        <f>Leads!B61</f>
        <v>Real Estate</v>
      </c>
      <c r="D61" s="6" t="str">
        <f>Leads!I61</f>
        <v>Macon, GA</v>
      </c>
      <c r="E61" s="6" t="str">
        <f>Leads!E61</f>
        <v>+1 478-254-2300</v>
      </c>
      <c r="F61" s="6" t="str">
        <f>Leads!D61</f>
        <v>Not identified - confirm on call</v>
      </c>
      <c r="G61" s="6" t="s">
        <v>2</v>
      </c>
      <c r="H61" s="6">
        <v>0.0</v>
      </c>
      <c r="I61" s="6"/>
      <c r="J61" s="6"/>
      <c r="K61" s="6"/>
      <c r="L61" s="6"/>
    </row>
    <row r="62" ht="23.25" customHeight="1">
      <c r="A62" s="6" t="str">
        <f>Leads!A62</f>
        <v>61</v>
      </c>
      <c r="B62" s="6" t="str">
        <f>Leads!C62</f>
        <v>Eric Sztanyo | Team Sztanyo Real Estate Agents</v>
      </c>
      <c r="C62" s="6" t="str">
        <f>Leads!B62</f>
        <v>Real Estate</v>
      </c>
      <c r="D62" s="6" t="str">
        <f>Leads!I62</f>
        <v>Cincinnati, OH</v>
      </c>
      <c r="E62" s="6" t="str">
        <f>Leads!E62</f>
        <v>+1 513-813-6293</v>
      </c>
      <c r="F62" s="6" t="str">
        <f>Leads!D62</f>
        <v>Eric Sztanyo (team lead)</v>
      </c>
      <c r="G62" s="6" t="s">
        <v>2</v>
      </c>
      <c r="H62" s="6">
        <v>0.0</v>
      </c>
      <c r="I62" s="6"/>
      <c r="J62" s="6"/>
      <c r="K62" s="6"/>
      <c r="L62" s="6"/>
    </row>
    <row r="63" ht="23.25" customHeight="1">
      <c r="A63" s="6" t="str">
        <f>Leads!A63</f>
        <v>62</v>
      </c>
      <c r="B63" s="6" t="str">
        <f>Leads!C63</f>
        <v>Team Herr, Private Real Estate Collection</v>
      </c>
      <c r="C63" s="6" t="str">
        <f>Leads!B63</f>
        <v>Real Estate</v>
      </c>
      <c r="D63" s="6" t="str">
        <f>Leads!I63</f>
        <v>Cincinnati, OH</v>
      </c>
      <c r="E63" s="6" t="str">
        <f>Leads!E63</f>
        <v>+1 513-708-7770</v>
      </c>
      <c r="F63" s="6" t="str">
        <f>Leads!D63</f>
        <v>Heather Herr (team lead)</v>
      </c>
      <c r="G63" s="6" t="s">
        <v>2</v>
      </c>
      <c r="H63" s="6">
        <v>0.0</v>
      </c>
      <c r="I63" s="6"/>
      <c r="J63" s="6"/>
      <c r="K63" s="6"/>
      <c r="L63" s="6"/>
    </row>
    <row r="64" ht="15.0" customHeight="1">
      <c r="A64" s="6" t="str">
        <f>Leads!A64</f>
        <v>63</v>
      </c>
      <c r="B64" s="6" t="str">
        <f>Leads!C64</f>
        <v>Austin Long - The Haus Group</v>
      </c>
      <c r="C64" s="6" t="str">
        <f>Leads!B64</f>
        <v>Real Estate</v>
      </c>
      <c r="D64" s="6" t="str">
        <f>Leads!I64</f>
        <v>Cincinnati, OH</v>
      </c>
      <c r="E64" s="6" t="str">
        <f>Leads!E64</f>
        <v>+1 513-663-5300</v>
      </c>
      <c r="F64" s="6" t="str">
        <f>Leads!D64</f>
        <v>Austin Long (agent/owner)</v>
      </c>
      <c r="G64" s="6" t="s">
        <v>2</v>
      </c>
      <c r="H64" s="6">
        <v>0.0</v>
      </c>
      <c r="I64" s="6"/>
      <c r="J64" s="6"/>
      <c r="K64" s="6"/>
      <c r="L64" s="6"/>
    </row>
    <row r="65" ht="15.0" customHeight="1">
      <c r="A65" s="6" t="str">
        <f>Leads!A65</f>
        <v>64</v>
      </c>
      <c r="B65" s="6" t="str">
        <f>Leads!C65</f>
        <v>The Degnan Group</v>
      </c>
      <c r="C65" s="6" t="str">
        <f>Leads!B65</f>
        <v>Real Estate</v>
      </c>
      <c r="D65" s="6" t="str">
        <f>Leads!I65</f>
        <v>Toledo, OH</v>
      </c>
      <c r="E65" s="6" t="str">
        <f>Leads!E65</f>
        <v>+1 419-345-7808</v>
      </c>
      <c r="F65" s="6" t="str">
        <f>Leads!D65</f>
        <v>Keith Degnan (owner/agent)</v>
      </c>
      <c r="G65" s="6" t="s">
        <v>2</v>
      </c>
      <c r="H65" s="6">
        <v>0.0</v>
      </c>
      <c r="I65" s="6"/>
      <c r="J65" s="6"/>
      <c r="K65" s="6"/>
      <c r="L65" s="6"/>
    </row>
    <row r="66" ht="15.0" customHeight="1">
      <c r="A66" s="6" t="str">
        <f>Leads!A66</f>
        <v>65</v>
      </c>
      <c r="B66" s="6" t="str">
        <f>Leads!C66</f>
        <v>Key Realty | Rick Turner &amp; Associates</v>
      </c>
      <c r="C66" s="6" t="str">
        <f>Leads!B66</f>
        <v>Real Estate</v>
      </c>
      <c r="D66" s="6" t="str">
        <f>Leads!I66</f>
        <v>Toledo, OH</v>
      </c>
      <c r="E66" s="6" t="str">
        <f>Leads!E66</f>
        <v>+1 419-283-7425</v>
      </c>
      <c r="F66" s="6" t="str">
        <f>Leads!D66</f>
        <v>Rick Turner (owner/agent)</v>
      </c>
      <c r="G66" s="6" t="s">
        <v>2</v>
      </c>
      <c r="H66" s="6">
        <v>0.0</v>
      </c>
      <c r="I66" s="6"/>
      <c r="J66" s="6"/>
      <c r="K66" s="6"/>
      <c r="L66" s="6"/>
    </row>
    <row r="67" ht="23.25" customHeight="1">
      <c r="A67" s="6" t="str">
        <f>Leads!A67</f>
        <v>66</v>
      </c>
      <c r="B67" s="6" t="str">
        <f>Leads!C67</f>
        <v>Heather Smith LaPoint - Danberry Realtors</v>
      </c>
      <c r="C67" s="6" t="str">
        <f>Leads!B67</f>
        <v>Real Estate</v>
      </c>
      <c r="D67" s="6" t="str">
        <f>Leads!I67</f>
        <v>Toledo, OH</v>
      </c>
      <c r="E67" s="6" t="str">
        <f>Leads!E67</f>
        <v>+1 419-360-0922</v>
      </c>
      <c r="F67" s="6" t="str">
        <f>Leads!D67</f>
        <v>Heather Smith LaPoint (agent)</v>
      </c>
      <c r="G67" s="6" t="s">
        <v>2</v>
      </c>
      <c r="H67" s="6">
        <v>0.0</v>
      </c>
      <c r="I67" s="6"/>
      <c r="J67" s="6"/>
      <c r="K67" s="6"/>
      <c r="L67" s="6"/>
    </row>
    <row r="68" ht="15.0" customHeight="1">
      <c r="A68" s="6" t="str">
        <f>Leads!A68</f>
        <v>67</v>
      </c>
      <c r="B68" s="6" t="str">
        <f>Leads!C68</f>
        <v>Exactly Real Estate</v>
      </c>
      <c r="C68" s="6" t="str">
        <f>Leads!B68</f>
        <v>Real Estate</v>
      </c>
      <c r="D68" s="6" t="str">
        <f>Leads!I68</f>
        <v>Fairlawn, OH</v>
      </c>
      <c r="E68" s="6" t="str">
        <f>Leads!E68</f>
        <v>+1 330-615-1414</v>
      </c>
      <c r="F68" s="6" t="str">
        <f>Leads!D68</f>
        <v>Kevin (owner - confirm)</v>
      </c>
      <c r="G68" s="6" t="s">
        <v>2</v>
      </c>
      <c r="H68" s="6">
        <v>0.0</v>
      </c>
      <c r="I68" s="6"/>
      <c r="J68" s="6"/>
      <c r="K68" s="6"/>
      <c r="L68" s="6"/>
    </row>
    <row r="69" ht="15.0" customHeight="1">
      <c r="A69" s="6" t="str">
        <f>Leads!A69</f>
        <v>68</v>
      </c>
      <c r="B69" s="6" t="str">
        <f>Leads!C69</f>
        <v>Adam Coleman Realtor, RE/MAX Edge</v>
      </c>
      <c r="C69" s="6" t="str">
        <f>Leads!B69</f>
        <v>Real Estate</v>
      </c>
      <c r="D69" s="6" t="str">
        <f>Leads!I69</f>
        <v>Akron, OH</v>
      </c>
      <c r="E69" s="6" t="str">
        <f>Leads!E69</f>
        <v>+1 330-310-9489</v>
      </c>
      <c r="F69" s="6" t="str">
        <f>Leads!D69</f>
        <v>Adam Coleman (agent/owner)</v>
      </c>
      <c r="G69" s="6" t="s">
        <v>2</v>
      </c>
      <c r="H69" s="6">
        <v>0.0</v>
      </c>
      <c r="I69" s="6"/>
      <c r="J69" s="6"/>
      <c r="K69" s="6"/>
      <c r="L69" s="6"/>
    </row>
    <row r="70" ht="15.0" customHeight="1">
      <c r="A70" s="6" t="str">
        <f>Leads!A70</f>
        <v>69</v>
      </c>
      <c r="B70" s="6" t="str">
        <f>Leads!C70</f>
        <v>Vision Sales Team - Real of Ohio</v>
      </c>
      <c r="C70" s="6" t="str">
        <f>Leads!B70</f>
        <v>Real Estate</v>
      </c>
      <c r="D70" s="6" t="str">
        <f>Leads!I70</f>
        <v>Akron, OH</v>
      </c>
      <c r="E70" s="6" t="str">
        <f>Leads!E70</f>
        <v>+1 330-786-5493</v>
      </c>
      <c r="F70" s="6" t="str">
        <f>Leads!D70</f>
        <v>Not identified - confirm on call</v>
      </c>
      <c r="G70" s="6" t="s">
        <v>2</v>
      </c>
      <c r="H70" s="6">
        <v>0.0</v>
      </c>
      <c r="I70" s="6"/>
      <c r="J70" s="6"/>
      <c r="K70" s="6"/>
      <c r="L70" s="6"/>
    </row>
    <row r="71" ht="23.25" customHeight="1">
      <c r="A71" s="6" t="str">
        <f>Leads!A71</f>
        <v>70</v>
      </c>
      <c r="B71" s="6" t="str">
        <f>Leads!C71</f>
        <v>Alex Saavedra with Core Real Estate Services</v>
      </c>
      <c r="C71" s="6" t="str">
        <f>Leads!B71</f>
        <v>Real Estate</v>
      </c>
      <c r="D71" s="6" t="str">
        <f>Leads!I71</f>
        <v>San Diego, CA</v>
      </c>
      <c r="E71" s="6" t="str">
        <f>Leads!E71</f>
        <v>+1 619-519-0683</v>
      </c>
      <c r="F71" s="6" t="str">
        <f>Leads!D71</f>
        <v>Alex Saavedra (owner/agent)</v>
      </c>
      <c r="G71" s="6" t="s">
        <v>2</v>
      </c>
      <c r="H71" s="6">
        <v>0.0</v>
      </c>
      <c r="I71" s="6"/>
      <c r="J71" s="6"/>
      <c r="K71" s="6"/>
      <c r="L71" s="6"/>
    </row>
    <row r="72" ht="23.25" customHeight="1">
      <c r="A72" s="6" t="str">
        <f>Leads!A72</f>
        <v>71</v>
      </c>
      <c r="B72" s="6" t="str">
        <f>Leads!C72</f>
        <v>CORE Real Estate Services</v>
      </c>
      <c r="C72" s="6" t="str">
        <f>Leads!B72</f>
        <v>Real Estate</v>
      </c>
      <c r="D72" s="6" t="str">
        <f>Leads!I72</f>
        <v>San Diego, CA</v>
      </c>
      <c r="E72" s="6" t="str">
        <f>Leads!E72</f>
        <v>+1 619-788-3343</v>
      </c>
      <c r="F72" s="6" t="str">
        <f>Leads!D72</f>
        <v>Alex Saavedra / Eddie Nguyen (principals - confirm)</v>
      </c>
      <c r="G72" s="6" t="s">
        <v>2</v>
      </c>
      <c r="H72" s="6">
        <v>0.0</v>
      </c>
      <c r="I72" s="6"/>
      <c r="J72" s="6"/>
      <c r="K72" s="6"/>
      <c r="L72" s="6"/>
    </row>
    <row r="73" ht="15.0" customHeight="1">
      <c r="A73" s="6" t="str">
        <f>Leads!A73</f>
        <v>72</v>
      </c>
      <c r="B73" s="6" t="str">
        <f>Leads!C73</f>
        <v>Nathan King Real Estate Group</v>
      </c>
      <c r="C73" s="6" t="str">
        <f>Leads!B73</f>
        <v>Real Estate</v>
      </c>
      <c r="D73" s="6" t="str">
        <f>Leads!I73</f>
        <v>Fresno, CA</v>
      </c>
      <c r="E73" s="6" t="str">
        <f>Leads!E73</f>
        <v>+1 559-396-0000</v>
      </c>
      <c r="F73" s="6" t="str">
        <f>Leads!D73</f>
        <v>Nathan King (owner)</v>
      </c>
      <c r="G73" s="6" t="s">
        <v>2</v>
      </c>
      <c r="H73" s="6">
        <v>0.0</v>
      </c>
      <c r="I73" s="6"/>
      <c r="J73" s="6"/>
      <c r="K73" s="6"/>
      <c r="L73" s="6"/>
    </row>
    <row r="74" ht="23.25" customHeight="1">
      <c r="A74" s="6" t="str">
        <f>Leads!A74</f>
        <v>73</v>
      </c>
      <c r="B74" s="6" t="str">
        <f>Leads!C74</f>
        <v>Gate12 Real Estate</v>
      </c>
      <c r="C74" s="6" t="str">
        <f>Leads!B74</f>
        <v>Real Estate</v>
      </c>
      <c r="D74" s="6" t="str">
        <f>Leads!I74</f>
        <v>Fresno, CA</v>
      </c>
      <c r="E74" s="6" t="str">
        <f>Leads!E74</f>
        <v>+1 559-540-8787</v>
      </c>
      <c r="F74" s="6" t="str">
        <f>Leads!D74</f>
        <v>Todd &amp; Linda Mitchell (agents/owners - confirm)</v>
      </c>
      <c r="G74" s="6" t="s">
        <v>2</v>
      </c>
      <c r="H74" s="6">
        <v>0.0</v>
      </c>
      <c r="I74" s="6"/>
      <c r="J74" s="6"/>
      <c r="K74" s="6"/>
      <c r="L74" s="6"/>
    </row>
    <row r="75" ht="15.0" customHeight="1">
      <c r="A75" s="6" t="str">
        <f>Leads!A75</f>
        <v>74</v>
      </c>
      <c r="B75" s="6" t="str">
        <f>Leads!C75</f>
        <v>Oscar Mata - Realtor</v>
      </c>
      <c r="C75" s="6" t="str">
        <f>Leads!B75</f>
        <v>Real Estate</v>
      </c>
      <c r="D75" s="6" t="str">
        <f>Leads!I75</f>
        <v>Fresno, CA</v>
      </c>
      <c r="E75" s="6" t="str">
        <f>Leads!E75</f>
        <v>+1 559-577-3819</v>
      </c>
      <c r="F75" s="6" t="str">
        <f>Leads!D75</f>
        <v>Oscar Mata (owner/agent)</v>
      </c>
      <c r="G75" s="6" t="s">
        <v>2</v>
      </c>
      <c r="H75" s="6">
        <v>0.0</v>
      </c>
      <c r="I75" s="6"/>
      <c r="J75" s="6"/>
      <c r="K75" s="6"/>
      <c r="L75" s="6"/>
    </row>
    <row r="76" ht="15.0" customHeight="1">
      <c r="A76" s="6" t="str">
        <f>Leads!A76</f>
        <v>75</v>
      </c>
      <c r="B76" s="6" t="str">
        <f>Leads!C76</f>
        <v>Bee Trucking, LLC</v>
      </c>
      <c r="C76" s="6" t="str">
        <f>Leads!B76</f>
        <v>Logistics</v>
      </c>
      <c r="D76" s="6" t="str">
        <f>Leads!I76</f>
        <v>San Antonio, TX</v>
      </c>
      <c r="E76" s="6" t="str">
        <f>Leads!E76</f>
        <v>+1 210-646-7211</v>
      </c>
      <c r="F76" s="6" t="str">
        <f>Leads!D76</f>
        <v>Not identified - confirm on call</v>
      </c>
      <c r="G76" s="6" t="s">
        <v>2</v>
      </c>
      <c r="H76" s="6">
        <v>0.0</v>
      </c>
      <c r="I76" s="6"/>
      <c r="J76" s="6"/>
      <c r="K76" s="6"/>
      <c r="L76" s="6"/>
    </row>
    <row r="77" ht="15.0" customHeight="1">
      <c r="A77" s="6" t="str">
        <f>Leads!A77</f>
        <v>76</v>
      </c>
      <c r="B77" s="6" t="str">
        <f>Leads!C77</f>
        <v>Esco's Trucking LLC</v>
      </c>
      <c r="C77" s="6" t="str">
        <f>Leads!B77</f>
        <v>Logistics</v>
      </c>
      <c r="D77" s="6" t="str">
        <f>Leads!I77</f>
        <v>San Antonio, TX</v>
      </c>
      <c r="E77" s="6" t="str">
        <f>Leads!E77</f>
        <v>+1 210-815-9412</v>
      </c>
      <c r="F77" s="6" t="str">
        <f>Leads!D77</f>
        <v>Silvia and Guillermo (owners)</v>
      </c>
      <c r="G77" s="6" t="s">
        <v>2</v>
      </c>
      <c r="H77" s="6">
        <v>0.0</v>
      </c>
      <c r="I77" s="6"/>
      <c r="J77" s="6"/>
      <c r="K77" s="6"/>
      <c r="L77" s="6"/>
    </row>
    <row r="78" ht="15.0" customHeight="1">
      <c r="A78" s="6" t="str">
        <f>Leads!A78</f>
        <v>77</v>
      </c>
      <c r="B78" s="6" t="str">
        <f>Leads!C78</f>
        <v>LoadX Logistics LLC</v>
      </c>
      <c r="C78" s="6" t="str">
        <f>Leads!B78</f>
        <v>Logistics</v>
      </c>
      <c r="D78" s="6" t="str">
        <f>Leads!I78</f>
        <v>Austin, TX</v>
      </c>
      <c r="E78" s="6" t="str">
        <f>Leads!E78</f>
        <v>+1 512-862-4046</v>
      </c>
      <c r="F78" s="6" t="str">
        <f>Leads!D78</f>
        <v>Justin (owner)</v>
      </c>
      <c r="G78" s="6" t="s">
        <v>2</v>
      </c>
      <c r="H78" s="6">
        <v>0.0</v>
      </c>
      <c r="I78" s="6"/>
      <c r="J78" s="6"/>
      <c r="K78" s="6"/>
      <c r="L78" s="6"/>
    </row>
    <row r="79" ht="15.0" customHeight="1">
      <c r="A79" s="6" t="str">
        <f>Leads!A79</f>
        <v>78</v>
      </c>
      <c r="B79" s="6" t="str">
        <f>Leads!C79</f>
        <v>MPCO Carriers, Inc</v>
      </c>
      <c r="C79" s="6" t="str">
        <f>Leads!B79</f>
        <v>Logistics</v>
      </c>
      <c r="D79" s="6" t="str">
        <f>Leads!I79</f>
        <v>Austin, TX</v>
      </c>
      <c r="E79" s="6" t="str">
        <f>Leads!E79</f>
        <v>+1 512-994-2131</v>
      </c>
      <c r="F79" s="6" t="str">
        <f>Leads!D79</f>
        <v>Not identified - confirm on call</v>
      </c>
      <c r="G79" s="6" t="s">
        <v>2</v>
      </c>
      <c r="H79" s="6">
        <v>0.0</v>
      </c>
      <c r="I79" s="6"/>
      <c r="J79" s="6"/>
      <c r="K79" s="6"/>
      <c r="L79" s="6"/>
    </row>
    <row r="80" ht="15.0" customHeight="1">
      <c r="A80" s="6" t="str">
        <f>Leads!A80</f>
        <v>79</v>
      </c>
      <c r="B80" s="6" t="str">
        <f>Leads!C80</f>
        <v>Austin Texas Transport LLC</v>
      </c>
      <c r="C80" s="6" t="str">
        <f>Leads!B80</f>
        <v>Logistics</v>
      </c>
      <c r="D80" s="6" t="str">
        <f>Leads!I80</f>
        <v>Austin, TX</v>
      </c>
      <c r="E80" s="6" t="str">
        <f>Leads!E80</f>
        <v>+1 512-679-4671</v>
      </c>
      <c r="F80" s="6" t="str">
        <f>Leads!D80</f>
        <v>Martin (staff/owner - confirm)</v>
      </c>
      <c r="G80" s="6" t="s">
        <v>2</v>
      </c>
      <c r="H80" s="6">
        <v>0.0</v>
      </c>
      <c r="I80" s="6"/>
      <c r="J80" s="6"/>
      <c r="K80" s="6"/>
      <c r="L80" s="6"/>
    </row>
    <row r="81" ht="15.0" customHeight="1">
      <c r="A81" s="6" t="str">
        <f>Leads!A81</f>
        <v>80</v>
      </c>
      <c r="B81" s="6" t="str">
        <f>Leads!C81</f>
        <v>J. Munoz Trucking, LLC</v>
      </c>
      <c r="C81" s="6" t="str">
        <f>Leads!B81</f>
        <v>Logistics</v>
      </c>
      <c r="D81" s="6" t="str">
        <f>Leads!I81</f>
        <v>Fort Worth, TX</v>
      </c>
      <c r="E81" s="6" t="str">
        <f>Leads!E81</f>
        <v>+1 682-227-1670</v>
      </c>
      <c r="F81" s="6" t="str">
        <f>Leads!D81</f>
        <v>Luis Munoz (owner)</v>
      </c>
      <c r="G81" s="6" t="s">
        <v>2</v>
      </c>
      <c r="H81" s="6">
        <v>0.0</v>
      </c>
      <c r="I81" s="6"/>
      <c r="J81" s="6"/>
      <c r="K81" s="6"/>
      <c r="L81" s="6"/>
    </row>
    <row r="82" ht="23.25" customHeight="1">
      <c r="A82" s="6" t="str">
        <f>Leads!A82</f>
        <v>81</v>
      </c>
      <c r="B82" s="6" t="str">
        <f>Leads!C82</f>
        <v>Blakeman Transportation</v>
      </c>
      <c r="C82" s="6" t="str">
        <f>Leads!B82</f>
        <v>Logistics</v>
      </c>
      <c r="D82" s="6" t="str">
        <f>Leads!I82</f>
        <v>Fort Worth, TX</v>
      </c>
      <c r="E82" s="6" t="str">
        <f>Leads!E82</f>
        <v>+1 817-626-3400</v>
      </c>
      <c r="F82" s="6" t="str">
        <f>Leads!D82</f>
        <v>Angela Zapata (broker contact - confirm owner)</v>
      </c>
      <c r="G82" s="6" t="s">
        <v>2</v>
      </c>
      <c r="H82" s="6">
        <v>0.0</v>
      </c>
      <c r="I82" s="6"/>
      <c r="J82" s="6"/>
      <c r="K82" s="6"/>
      <c r="L82" s="6"/>
    </row>
    <row r="83" ht="15.0" customHeight="1">
      <c r="A83" s="6" t="str">
        <f>Leads!A83</f>
        <v>82</v>
      </c>
      <c r="B83" s="6" t="str">
        <f>Leads!C83</f>
        <v>F&amp;W Transportation</v>
      </c>
      <c r="C83" s="6" t="str">
        <f>Leads!B83</f>
        <v>Logistics</v>
      </c>
      <c r="D83" s="6" t="str">
        <f>Leads!I83</f>
        <v>Augusta, GA</v>
      </c>
      <c r="E83" s="6" t="str">
        <f>Leads!E83</f>
        <v>+1 706-796-3342</v>
      </c>
      <c r="F83" s="6" t="str">
        <f>Leads!D83</f>
        <v>Not identified - confirm on call</v>
      </c>
      <c r="G83" s="6" t="s">
        <v>2</v>
      </c>
      <c r="H83" s="6">
        <v>0.0</v>
      </c>
      <c r="I83" s="6"/>
      <c r="J83" s="6"/>
      <c r="K83" s="6"/>
      <c r="L83" s="6"/>
    </row>
    <row r="84" ht="15.0" customHeight="1">
      <c r="A84" s="6" t="str">
        <f>Leads!A84</f>
        <v>83</v>
      </c>
      <c r="B84" s="6" t="str">
        <f>Leads!C84</f>
        <v>Starrette Houston Trucking, LLC</v>
      </c>
      <c r="C84" s="6" t="str">
        <f>Leads!B84</f>
        <v>Logistics</v>
      </c>
      <c r="D84" s="6" t="str">
        <f>Leads!I84</f>
        <v>Augusta, GA</v>
      </c>
      <c r="E84" s="6" t="str">
        <f>Leads!E84</f>
        <v>+1 706-860-2060</v>
      </c>
      <c r="F84" s="6" t="str">
        <f>Leads!D84</f>
        <v>Not identified - confirm on call</v>
      </c>
      <c r="G84" s="6" t="s">
        <v>2</v>
      </c>
      <c r="H84" s="6">
        <v>0.0</v>
      </c>
      <c r="I84" s="6"/>
      <c r="J84" s="6"/>
      <c r="K84" s="6"/>
      <c r="L84" s="6"/>
    </row>
    <row r="85" ht="15.0" customHeight="1">
      <c r="A85" s="6" t="str">
        <f>Leads!A85</f>
        <v>84</v>
      </c>
      <c r="B85" s="6" t="str">
        <f>Leads!C85</f>
        <v>Little Lady Logistics/Towing</v>
      </c>
      <c r="C85" s="6" t="str">
        <f>Leads!B85</f>
        <v>Logistics</v>
      </c>
      <c r="D85" s="6" t="str">
        <f>Leads!I85</f>
        <v>Augusta, GA</v>
      </c>
      <c r="E85" s="6" t="str">
        <f>Leads!E85</f>
        <v>+1 904-400-9490</v>
      </c>
      <c r="F85" s="6" t="str">
        <f>Leads!D85</f>
        <v>Jeffery (driver/owner - confirm)</v>
      </c>
      <c r="G85" s="6" t="s">
        <v>2</v>
      </c>
      <c r="H85" s="6">
        <v>0.0</v>
      </c>
      <c r="I85" s="6"/>
      <c r="J85" s="6"/>
      <c r="K85" s="6"/>
      <c r="L85" s="6"/>
    </row>
    <row r="86" ht="15.0" customHeight="1">
      <c r="A86" s="6" t="str">
        <f>Leads!A86</f>
        <v>85</v>
      </c>
      <c r="B86" s="6" t="str">
        <f>Leads!C86</f>
        <v>First Mile Transportation LLC</v>
      </c>
      <c r="C86" s="6" t="str">
        <f>Leads!B86</f>
        <v>Logistics</v>
      </c>
      <c r="D86" s="6" t="str">
        <f>Leads!I86</f>
        <v>Cincinnati, OH</v>
      </c>
      <c r="E86" s="6" t="str">
        <f>Leads!E86</f>
        <v>+1 513-964-7021</v>
      </c>
      <c r="F86" s="6" t="str">
        <f>Leads!D86</f>
        <v>Bernard Baggett (CEO)</v>
      </c>
      <c r="G86" s="6" t="s">
        <v>2</v>
      </c>
      <c r="H86" s="6">
        <v>0.0</v>
      </c>
      <c r="I86" s="6"/>
      <c r="J86" s="6"/>
      <c r="K86" s="6"/>
      <c r="L86" s="6"/>
    </row>
    <row r="87" ht="15.0" customHeight="1">
      <c r="A87" s="6" t="str">
        <f>Leads!A87</f>
        <v>86</v>
      </c>
      <c r="B87" s="6" t="str">
        <f>Leads!C87</f>
        <v>Masur Trucking Inc</v>
      </c>
      <c r="C87" s="6" t="str">
        <f>Leads!B87</f>
        <v>Logistics</v>
      </c>
      <c r="D87" s="6" t="str">
        <f>Leads!I87</f>
        <v>Cincinnati, OH</v>
      </c>
      <c r="E87" s="6" t="str">
        <f>Leads!E87</f>
        <v>+1 513-771-5008</v>
      </c>
      <c r="F87" s="6" t="str">
        <f>Leads!D87</f>
        <v>Holly (staff - confirm owner)</v>
      </c>
      <c r="G87" s="6" t="s">
        <v>2</v>
      </c>
      <c r="H87" s="6">
        <v>0.0</v>
      </c>
      <c r="I87" s="6"/>
      <c r="J87" s="6"/>
      <c r="K87" s="6"/>
      <c r="L87" s="6"/>
    </row>
    <row r="88" ht="15.0" customHeight="1">
      <c r="A88" s="6" t="str">
        <f>Leads!A88</f>
        <v>87</v>
      </c>
      <c r="B88" s="6" t="str">
        <f>Leads!C88</f>
        <v>Trans-States Express</v>
      </c>
      <c r="C88" s="6" t="str">
        <f>Leads!B88</f>
        <v>Logistics</v>
      </c>
      <c r="D88" s="6" t="str">
        <f>Leads!I88</f>
        <v>Cincinnati, OH</v>
      </c>
      <c r="E88" s="6" t="str">
        <f>Leads!E88</f>
        <v>+1 513-679-7100</v>
      </c>
      <c r="F88" s="6" t="str">
        <f>Leads!D88</f>
        <v>Not identified - confirm on call</v>
      </c>
      <c r="G88" s="6" t="s">
        <v>2</v>
      </c>
      <c r="H88" s="6">
        <v>0.0</v>
      </c>
      <c r="I88" s="6"/>
      <c r="J88" s="6"/>
      <c r="K88" s="6"/>
      <c r="L88" s="6"/>
    </row>
    <row r="89" ht="15.0" customHeight="1">
      <c r="A89" s="6" t="str">
        <f>Leads!A89</f>
        <v>88</v>
      </c>
      <c r="B89" s="6" t="str">
        <f>Leads!C89</f>
        <v>Revive Transport</v>
      </c>
      <c r="C89" s="6" t="str">
        <f>Leads!B89</f>
        <v>Logistics</v>
      </c>
      <c r="D89" s="6" t="str">
        <f>Leads!I89</f>
        <v>Toledo, OH</v>
      </c>
      <c r="E89" s="6" t="str">
        <f>Leads!E89</f>
        <v>+1 567-314-9696</v>
      </c>
      <c r="F89" s="6" t="str">
        <f>Leads!D89</f>
        <v>Not identified - confirm on call</v>
      </c>
      <c r="G89" s="6" t="s">
        <v>2</v>
      </c>
      <c r="H89" s="6">
        <v>0.0</v>
      </c>
      <c r="I89" s="6"/>
      <c r="J89" s="6"/>
      <c r="K89" s="6"/>
      <c r="L89" s="6"/>
    </row>
    <row r="90" ht="23.25" customHeight="1">
      <c r="A90" s="6" t="str">
        <f>Leads!A90</f>
        <v>89</v>
      </c>
      <c r="B90" s="6" t="str">
        <f>Leads!C90</f>
        <v>Pull Em Freight</v>
      </c>
      <c r="C90" s="6" t="str">
        <f>Leads!B90</f>
        <v>Logistics</v>
      </c>
      <c r="D90" s="6" t="str">
        <f>Leads!I90</f>
        <v>Toledo, OH</v>
      </c>
      <c r="E90" s="6" t="str">
        <f>Leads!E90</f>
        <v>+1 419-208-9110</v>
      </c>
      <c r="F90" s="6" t="str">
        <f>Leads!D90</f>
        <v>Not identified - female owner per reviews, confirm</v>
      </c>
      <c r="G90" s="6" t="s">
        <v>2</v>
      </c>
      <c r="H90" s="6">
        <v>0.0</v>
      </c>
      <c r="I90" s="6"/>
      <c r="J90" s="6"/>
      <c r="K90" s="6"/>
      <c r="L90" s="6"/>
    </row>
    <row r="91" ht="15.0" customHeight="1">
      <c r="A91" s="6" t="str">
        <f>Leads!A91</f>
        <v>90</v>
      </c>
      <c r="B91" s="6" t="str">
        <f>Leads!C91</f>
        <v>Hoc Transport Co</v>
      </c>
      <c r="C91" s="6" t="str">
        <f>Leads!B91</f>
        <v>Logistics</v>
      </c>
      <c r="D91" s="6" t="str">
        <f>Leads!I91</f>
        <v>Akron, OH</v>
      </c>
      <c r="E91" s="6" t="str">
        <f>Leads!E91</f>
        <v>+1 330-630-0100</v>
      </c>
      <c r="F91" s="6" t="str">
        <f>Leads!D91</f>
        <v>Not identified - confirm on call</v>
      </c>
      <c r="G91" s="6" t="s">
        <v>2</v>
      </c>
      <c r="H91" s="6">
        <v>0.0</v>
      </c>
      <c r="I91" s="6"/>
      <c r="J91" s="6"/>
      <c r="K91" s="6"/>
      <c r="L91" s="6"/>
    </row>
    <row r="92" ht="15.0" customHeight="1">
      <c r="A92" s="6" t="str">
        <f>Leads!A92</f>
        <v>91</v>
      </c>
      <c r="B92" s="6" t="str">
        <f>Leads!C92</f>
        <v>Monster Logistics LLC</v>
      </c>
      <c r="C92" s="6" t="str">
        <f>Leads!B92</f>
        <v>Logistics</v>
      </c>
      <c r="D92" s="6" t="str">
        <f>Leads!I92</f>
        <v>Akron, OH</v>
      </c>
      <c r="E92" s="6" t="str">
        <f>Leads!E92</f>
        <v>+1 330-274-4280</v>
      </c>
      <c r="F92" s="6" t="str">
        <f>Leads!D92</f>
        <v>Justin Allen Monter (owner, per FMCSA filing)</v>
      </c>
      <c r="G92" s="6" t="s">
        <v>2</v>
      </c>
      <c r="H92" s="6">
        <v>0.0</v>
      </c>
      <c r="I92" s="6"/>
      <c r="J92" s="6"/>
      <c r="K92" s="6"/>
      <c r="L92" s="6"/>
    </row>
    <row r="93" ht="15.0" customHeight="1">
      <c r="A93" s="6" t="str">
        <f>Leads!A93</f>
        <v>92</v>
      </c>
      <c r="B93" s="6" t="str">
        <f>Leads!C93</f>
        <v>Kandel Transport Inc</v>
      </c>
      <c r="C93" s="6" t="str">
        <f>Leads!B93</f>
        <v>Logistics</v>
      </c>
      <c r="D93" s="6" t="str">
        <f>Leads!I93</f>
        <v>Tallmadge, OH</v>
      </c>
      <c r="E93" s="6" t="str">
        <f>Leads!E93</f>
        <v>+1 330-798-4111</v>
      </c>
      <c r="F93" s="6" t="str">
        <f>Leads!D93</f>
        <v>Not identified - confirm on call</v>
      </c>
      <c r="G93" s="6" t="s">
        <v>2</v>
      </c>
      <c r="H93" s="6">
        <v>0.0</v>
      </c>
      <c r="I93" s="6"/>
      <c r="J93" s="6"/>
      <c r="K93" s="6"/>
      <c r="L93" s="6"/>
    </row>
    <row r="94" ht="23.25" customHeight="1">
      <c r="A94" s="6" t="str">
        <f>Leads!A94</f>
        <v>93</v>
      </c>
      <c r="B94" s="6" t="str">
        <f>Leads!C94</f>
        <v>Mex-Cal Truckline - San Diego Trucking</v>
      </c>
      <c r="C94" s="6" t="str">
        <f>Leads!B94</f>
        <v>Logistics</v>
      </c>
      <c r="D94" s="6" t="str">
        <f>Leads!I94</f>
        <v>San Diego, CA</v>
      </c>
      <c r="E94" s="6" t="str">
        <f>Leads!E94</f>
        <v>+1 619-661-1234</v>
      </c>
      <c r="F94" s="6" t="str">
        <f>Leads!D94</f>
        <v>Fernando (staff - confirm owner)</v>
      </c>
      <c r="G94" s="6" t="s">
        <v>2</v>
      </c>
      <c r="H94" s="6">
        <v>0.0</v>
      </c>
      <c r="I94" s="6"/>
      <c r="J94" s="6"/>
      <c r="K94" s="6"/>
      <c r="L94" s="6"/>
    </row>
    <row r="95" ht="23.25" customHeight="1">
      <c r="A95" s="6" t="str">
        <f>Leads!A95</f>
        <v>94</v>
      </c>
      <c r="B95" s="6" t="str">
        <f>Leads!C95</f>
        <v>Rust &amp; Sons Trucking Inc.</v>
      </c>
      <c r="C95" s="6" t="str">
        <f>Leads!B95</f>
        <v>Logistics</v>
      </c>
      <c r="D95" s="6" t="str">
        <f>Leads!I95</f>
        <v>El Cajon, CA</v>
      </c>
      <c r="E95" s="6" t="str">
        <f>Leads!E95</f>
        <v>+1 619-443-6193</v>
      </c>
      <c r="F95" s="6" t="str">
        <f>Leads!D95</f>
        <v>Not identified - family-owned per reviews, confirm</v>
      </c>
      <c r="G95" s="6" t="s">
        <v>2</v>
      </c>
      <c r="H95" s="6">
        <v>0.0</v>
      </c>
      <c r="I95" s="6"/>
      <c r="J95" s="6"/>
      <c r="K95" s="6"/>
      <c r="L95" s="6"/>
    </row>
    <row r="96" ht="15.0" customHeight="1">
      <c r="A96" s="6" t="str">
        <f>Leads!A96</f>
        <v>95</v>
      </c>
      <c r="B96" s="6" t="str">
        <f>Leads!C96</f>
        <v>Complete Logistics Co</v>
      </c>
      <c r="C96" s="6" t="str">
        <f>Leads!B96</f>
        <v>Logistics</v>
      </c>
      <c r="D96" s="6" t="str">
        <f>Leads!I96</f>
        <v>San Diego, CA</v>
      </c>
      <c r="E96" s="6" t="str">
        <f>Leads!E96</f>
        <v>+1 619-661-9610</v>
      </c>
      <c r="F96" s="6" t="str">
        <f>Leads!D96</f>
        <v>Not identified - confirm on call</v>
      </c>
      <c r="G96" s="6" t="s">
        <v>2</v>
      </c>
      <c r="H96" s="6">
        <v>0.0</v>
      </c>
      <c r="I96" s="6"/>
      <c r="J96" s="6"/>
      <c r="K96" s="6"/>
      <c r="L96" s="6"/>
    </row>
    <row r="97" ht="15.0" customHeight="1">
      <c r="A97" s="6" t="str">
        <f>Leads!A97</f>
        <v>96</v>
      </c>
      <c r="B97" s="6" t="str">
        <f>Leads!C97</f>
        <v>Carolina Trucking Inc</v>
      </c>
      <c r="C97" s="6" t="str">
        <f>Leads!B97</f>
        <v>Logistics</v>
      </c>
      <c r="D97" s="6" t="str">
        <f>Leads!I97</f>
        <v>San Diego, CA</v>
      </c>
      <c r="E97" s="6" t="str">
        <f>Leads!E97</f>
        <v>+1 619-661-1554</v>
      </c>
      <c r="F97" s="6" t="str">
        <f>Leads!D97</f>
        <v>Not identified - confirm on call</v>
      </c>
      <c r="G97" s="6" t="s">
        <v>2</v>
      </c>
      <c r="H97" s="6">
        <v>0.0</v>
      </c>
      <c r="I97" s="6"/>
      <c r="J97" s="6"/>
      <c r="K97" s="6"/>
      <c r="L97" s="6"/>
    </row>
    <row r="98" ht="15.0" customHeight="1">
      <c r="A98" s="6" t="str">
        <f>Leads!A98</f>
        <v>97</v>
      </c>
      <c r="B98" s="6" t="str">
        <f>Leads!C98</f>
        <v>Honest Freight</v>
      </c>
      <c r="C98" s="6" t="str">
        <f>Leads!B98</f>
        <v>Logistics</v>
      </c>
      <c r="D98" s="6" t="str">
        <f>Leads!I98</f>
        <v>Fresno, CA</v>
      </c>
      <c r="E98" s="6" t="str">
        <f>Leads!E98</f>
        <v>+1 559-554-1635</v>
      </c>
      <c r="F98" s="6" t="str">
        <f>Leads!D98</f>
        <v>Vincent (owner)</v>
      </c>
      <c r="G98" s="6" t="s">
        <v>2</v>
      </c>
      <c r="H98" s="6">
        <v>0.0</v>
      </c>
      <c r="I98" s="6"/>
      <c r="J98" s="6"/>
      <c r="K98" s="6"/>
      <c r="L98" s="6"/>
    </row>
    <row r="99" ht="15.0" customHeight="1">
      <c r="A99" s="6" t="str">
        <f>Leads!A99</f>
        <v>98</v>
      </c>
      <c r="B99" s="6" t="str">
        <f>Leads!C99</f>
        <v>GTC Logistics, Inc.</v>
      </c>
      <c r="C99" s="6" t="str">
        <f>Leads!B99</f>
        <v>Logistics</v>
      </c>
      <c r="D99" s="6" t="str">
        <f>Leads!I99</f>
        <v>Fresno, CA</v>
      </c>
      <c r="E99" s="6" t="str">
        <f>Leads!E99</f>
        <v>+1 559-275-3737</v>
      </c>
      <c r="F99" s="6" t="str">
        <f>Leads!D99</f>
        <v>Not identified - confirm on call</v>
      </c>
      <c r="G99" s="6" t="s">
        <v>2</v>
      </c>
      <c r="H99" s="6">
        <v>0.0</v>
      </c>
      <c r="I99" s="6"/>
      <c r="J99" s="6"/>
      <c r="K99" s="6"/>
      <c r="L99" s="6"/>
    </row>
    <row r="100" ht="15.0" customHeight="1">
      <c r="A100" s="6" t="str">
        <f>Leads!A100</f>
        <v>99</v>
      </c>
      <c r="B100" s="6" t="str">
        <f>Leads!C100</f>
        <v>Gonzalez Transport Logistics LLC</v>
      </c>
      <c r="C100" s="6" t="str">
        <f>Leads!B100</f>
        <v>Logistics</v>
      </c>
      <c r="D100" s="6" t="str">
        <f>Leads!I100</f>
        <v>Fresno, CA</v>
      </c>
      <c r="E100" s="6" t="str">
        <f>Leads!E100</f>
        <v>+1 559-217-4243</v>
      </c>
      <c r="F100" s="6" t="str">
        <f>Leads!D100</f>
        <v>Not identified - confirm on call</v>
      </c>
      <c r="G100" s="6" t="s">
        <v>2</v>
      </c>
      <c r="H100" s="6">
        <v>0.0</v>
      </c>
      <c r="I100" s="6"/>
      <c r="J100" s="6"/>
      <c r="K100" s="6"/>
      <c r="L100" s="6"/>
    </row>
    <row r="101" ht="15.0" customHeight="1">
      <c r="A101" s="6" t="str">
        <f>Leads!A101</f>
        <v>100</v>
      </c>
      <c r="B101" s="6" t="str">
        <f>Leads!C101</f>
        <v>Real Estate NERD Group</v>
      </c>
      <c r="C101" s="6" t="str">
        <f>Leads!B101</f>
        <v>Real Estate</v>
      </c>
      <c r="D101" s="6" t="str">
        <f>Leads!I101</f>
        <v>El Paso, TX</v>
      </c>
      <c r="E101" s="6" t="str">
        <f>Leads!E101</f>
        <v>+1 915-799-6210</v>
      </c>
      <c r="F101" s="6" t="str">
        <f>Leads!D101</f>
        <v>Edgar Galindo (agent/owner)</v>
      </c>
      <c r="G101" s="6" t="s">
        <v>2</v>
      </c>
      <c r="H101" s="6">
        <v>0.0</v>
      </c>
      <c r="I101" s="6"/>
      <c r="J101" s="6"/>
      <c r="K101" s="6"/>
      <c r="L101" s="6"/>
    </row>
    <row r="102" ht="23.25" customHeight="1">
      <c r="A102" s="6" t="str">
        <f>Leads!A102</f>
        <v>101</v>
      </c>
      <c r="B102" s="6" t="str">
        <f>Leads!C102</f>
        <v>The Real Estate Agency</v>
      </c>
      <c r="C102" s="6" t="str">
        <f>Leads!B102</f>
        <v>Real Estate</v>
      </c>
      <c r="D102" s="6" t="str">
        <f>Leads!I102</f>
        <v>El Paso, TX</v>
      </c>
      <c r="E102" s="6" t="str">
        <f>Leads!E102</f>
        <v>+1 915-600-7666</v>
      </c>
      <c r="F102" s="6" t="str">
        <f>Leads!D102</f>
        <v>Claudia Abraham (advisor - confirm owner)</v>
      </c>
      <c r="G102" s="6" t="s">
        <v>2</v>
      </c>
      <c r="H102" s="6">
        <v>0.0</v>
      </c>
      <c r="I102" s="6"/>
      <c r="J102" s="6"/>
      <c r="K102" s="6"/>
      <c r="L102" s="6"/>
    </row>
    <row r="103" ht="23.25" customHeight="1">
      <c r="A103" s="6" t="str">
        <f>Leads!A103</f>
        <v>102</v>
      </c>
      <c r="B103" s="6" t="str">
        <f>Leads!C103</f>
        <v>Coastal Bend Real Estate</v>
      </c>
      <c r="C103" s="6" t="str">
        <f>Leads!B103</f>
        <v>Real Estate</v>
      </c>
      <c r="D103" s="6" t="str">
        <f>Leads!I103</f>
        <v>Corpus Christi, TX</v>
      </c>
      <c r="E103" s="6" t="str">
        <f>Leads!E103</f>
        <v>+1 361-302-1000</v>
      </c>
      <c r="F103" s="6" t="str">
        <f>Leads!D103</f>
        <v>Trey Teichelman (agent - confirm owner)</v>
      </c>
      <c r="G103" s="6" t="s">
        <v>2</v>
      </c>
      <c r="H103" s="6">
        <v>0.0</v>
      </c>
      <c r="I103" s="6"/>
      <c r="J103" s="6"/>
      <c r="K103" s="6"/>
      <c r="L103" s="6"/>
    </row>
    <row r="104" ht="15.0" customHeight="1">
      <c r="A104" s="6" t="str">
        <f>Leads!A104</f>
        <v>103</v>
      </c>
      <c r="B104" s="6" t="str">
        <f>Leads!C104</f>
        <v>KM Premier Real Estate</v>
      </c>
      <c r="C104" s="6" t="str">
        <f>Leads!B104</f>
        <v>Real Estate</v>
      </c>
      <c r="D104" s="6" t="str">
        <f>Leads!I104</f>
        <v>Corpus Christi, TX</v>
      </c>
      <c r="E104" s="6" t="str">
        <f>Leads!E104</f>
        <v>+1 361-991-5263</v>
      </c>
      <c r="F104" s="6" t="str">
        <f>Leads!D104</f>
        <v>Not identified - confirm on call</v>
      </c>
      <c r="G104" s="6" t="s">
        <v>2</v>
      </c>
      <c r="H104" s="6">
        <v>0.0</v>
      </c>
      <c r="I104" s="6"/>
      <c r="J104" s="6"/>
      <c r="K104" s="6"/>
      <c r="L104" s="6"/>
    </row>
    <row r="105" ht="23.25" customHeight="1">
      <c r="A105" s="6" t="str">
        <f>Leads!A105</f>
        <v>104</v>
      </c>
      <c r="B105" s="6" t="str">
        <f>Leads!C105</f>
        <v>The Street Real Estate Company</v>
      </c>
      <c r="C105" s="6" t="str">
        <f>Leads!B105</f>
        <v>Real Estate</v>
      </c>
      <c r="D105" s="6" t="str">
        <f>Leads!I105</f>
        <v>Arlington, TX</v>
      </c>
      <c r="E105" s="6" t="str">
        <f>Leads!E105</f>
        <v>+1 469-855-0469</v>
      </c>
      <c r="F105" s="6" t="str">
        <f>Leads!D105</f>
        <v>Rebecca Ringer (agent - confirm owner)</v>
      </c>
      <c r="G105" s="6" t="s">
        <v>2</v>
      </c>
      <c r="H105" s="6">
        <v>0.0</v>
      </c>
      <c r="I105" s="6"/>
      <c r="J105" s="6"/>
      <c r="K105" s="6"/>
      <c r="L105" s="6"/>
    </row>
    <row r="106" ht="23.25" customHeight="1">
      <c r="A106" s="6" t="str">
        <f>Leads!A106</f>
        <v>105</v>
      </c>
      <c r="B106" s="6" t="str">
        <f>Leads!C106</f>
        <v>Niles Realty Group</v>
      </c>
      <c r="C106" s="6" t="str">
        <f>Leads!B106</f>
        <v>Real Estate</v>
      </c>
      <c r="D106" s="6" t="str">
        <f>Leads!I106</f>
        <v>Arlington, TX</v>
      </c>
      <c r="E106" s="6" t="str">
        <f>Leads!E106</f>
        <v>+1 817-704-2419</v>
      </c>
      <c r="F106" s="6" t="str">
        <f>Leads!D106</f>
        <v>Kimberly (agent/owner - confirm)</v>
      </c>
      <c r="G106" s="6" t="s">
        <v>2</v>
      </c>
      <c r="H106" s="6">
        <v>0.0</v>
      </c>
      <c r="I106" s="6"/>
      <c r="J106" s="6"/>
      <c r="K106" s="6"/>
      <c r="L106" s="6"/>
    </row>
    <row r="107" ht="15.0" customHeight="1">
      <c r="A107" s="6" t="str">
        <f>Leads!A107</f>
        <v>106</v>
      </c>
      <c r="B107" s="6" t="str">
        <f>Leads!C107</f>
        <v>JS Realty</v>
      </c>
      <c r="C107" s="6" t="str">
        <f>Leads!B107</f>
        <v>Real Estate</v>
      </c>
      <c r="D107" s="6" t="str">
        <f>Leads!I107</f>
        <v>Plano, TX</v>
      </c>
      <c r="E107" s="6" t="str">
        <f>Leads!E107</f>
        <v>+1 214-277-3508</v>
      </c>
      <c r="F107" s="6" t="str">
        <f>Leads!D107</f>
        <v>Ji (owner/agent - confirm)</v>
      </c>
      <c r="G107" s="6" t="s">
        <v>2</v>
      </c>
      <c r="H107" s="6">
        <v>0.0</v>
      </c>
      <c r="I107" s="6"/>
      <c r="J107" s="6"/>
      <c r="K107" s="6"/>
      <c r="L107" s="6"/>
    </row>
    <row r="108" ht="15.0" customHeight="1">
      <c r="A108" s="6" t="str">
        <f>Leads!A108</f>
        <v>107</v>
      </c>
      <c r="B108" s="6" t="str">
        <f>Leads!C108</f>
        <v>Sharon Ketko Realty</v>
      </c>
      <c r="C108" s="6" t="str">
        <f>Leads!B108</f>
        <v>Real Estate</v>
      </c>
      <c r="D108" s="6" t="str">
        <f>Leads!I108</f>
        <v>Plano, TX</v>
      </c>
      <c r="E108" s="6" t="str">
        <f>Leads!E108</f>
        <v>+1 972-841-3110</v>
      </c>
      <c r="F108" s="6" t="str">
        <f>Leads!D108</f>
        <v>Sharon Ketko (owner)</v>
      </c>
      <c r="G108" s="6" t="s">
        <v>2</v>
      </c>
      <c r="H108" s="6">
        <v>0.0</v>
      </c>
      <c r="I108" s="6"/>
      <c r="J108" s="6"/>
      <c r="K108" s="6"/>
      <c r="L108" s="6"/>
    </row>
    <row r="109" ht="23.25" customHeight="1">
      <c r="A109" s="6" t="str">
        <f>Leads!A109</f>
        <v>108</v>
      </c>
      <c r="B109" s="6" t="str">
        <f>Leads!C109</f>
        <v>EG Realty</v>
      </c>
      <c r="C109" s="6" t="str">
        <f>Leads!B109</f>
        <v>Real Estate</v>
      </c>
      <c r="D109" s="6" t="str">
        <f>Leads!I109</f>
        <v>Waco, TX</v>
      </c>
      <c r="E109" s="6" t="str">
        <f>Leads!E109</f>
        <v>+1 254-218-4220</v>
      </c>
      <c r="F109" s="6" t="str">
        <f>Leads!D109</f>
        <v>Elizabeth (agent - confirm owner)</v>
      </c>
      <c r="G109" s="6" t="s">
        <v>2</v>
      </c>
      <c r="H109" s="6">
        <v>0.0</v>
      </c>
      <c r="I109" s="6"/>
      <c r="J109" s="6"/>
      <c r="K109" s="6"/>
      <c r="L109" s="6"/>
    </row>
    <row r="110" ht="23.25" customHeight="1">
      <c r="A110" s="6" t="str">
        <f>Leads!A110</f>
        <v>109</v>
      </c>
      <c r="B110" s="6" t="str">
        <f>Leads!C110</f>
        <v>Envision Realty Group at EG Realty</v>
      </c>
      <c r="C110" s="6" t="str">
        <f>Leads!B110</f>
        <v>Real Estate</v>
      </c>
      <c r="D110" s="6" t="str">
        <f>Leads!I110</f>
        <v>Waco, TX</v>
      </c>
      <c r="E110" s="6" t="str">
        <f>Leads!E110</f>
        <v>+1 254-300-9933</v>
      </c>
      <c r="F110" s="6" t="str">
        <f>Leads!D110</f>
        <v>John Mann &amp; Greg Clark (agents - confirm owner)</v>
      </c>
      <c r="G110" s="6" t="s">
        <v>2</v>
      </c>
      <c r="H110" s="6">
        <v>0.0</v>
      </c>
      <c r="I110" s="6"/>
      <c r="J110" s="6"/>
      <c r="K110" s="6"/>
      <c r="L110" s="6"/>
    </row>
    <row r="111" ht="15.0" customHeight="1">
      <c r="A111" s="6" t="str">
        <f>Leads!A111</f>
        <v>110</v>
      </c>
      <c r="B111" s="6" t="str">
        <f>Leads!C111</f>
        <v>Refined Real Estate</v>
      </c>
      <c r="C111" s="6" t="str">
        <f>Leads!B111</f>
        <v>Real Estate</v>
      </c>
      <c r="D111" s="6" t="str">
        <f>Leads!I111</f>
        <v>Athens, GA</v>
      </c>
      <c r="E111" s="6" t="str">
        <f>Leads!E111</f>
        <v>+1 678-400-4969</v>
      </c>
      <c r="F111" s="6" t="str">
        <f>Leads!D111</f>
        <v>Aleena (agent/owner - confirm)</v>
      </c>
      <c r="G111" s="6" t="s">
        <v>2</v>
      </c>
      <c r="H111" s="6">
        <v>0.0</v>
      </c>
      <c r="I111" s="6"/>
      <c r="J111" s="6"/>
      <c r="K111" s="6"/>
      <c r="L111" s="6"/>
    </row>
    <row r="112" ht="23.25" customHeight="1">
      <c r="A112" s="6" t="str">
        <f>Leads!A112</f>
        <v>111</v>
      </c>
      <c r="B112" s="6" t="str">
        <f>Leads!C112</f>
        <v>White Real Estate Group, LLC</v>
      </c>
      <c r="C112" s="6" t="str">
        <f>Leads!B112</f>
        <v>Real Estate</v>
      </c>
      <c r="D112" s="6" t="str">
        <f>Leads!I112</f>
        <v>Columbus, GA</v>
      </c>
      <c r="E112" s="6" t="str">
        <f>Leads!E112</f>
        <v>+1 706-576-2400 ext. 46</v>
      </c>
      <c r="F112" s="6" t="str">
        <f>Leads!D112</f>
        <v>Gary White (owner)</v>
      </c>
      <c r="G112" s="6" t="s">
        <v>2</v>
      </c>
      <c r="H112" s="6">
        <v>0.0</v>
      </c>
      <c r="I112" s="6"/>
      <c r="J112" s="6"/>
      <c r="K112" s="6"/>
      <c r="L112" s="6"/>
    </row>
    <row r="113" ht="15.0" customHeight="1">
      <c r="A113" s="6" t="str">
        <f>Leads!A113</f>
        <v>112</v>
      </c>
      <c r="B113" s="6" t="str">
        <f>Leads!C113</f>
        <v>Kristina Finney Realtor - Keller Williams</v>
      </c>
      <c r="C113" s="6" t="str">
        <f>Leads!B113</f>
        <v>Real Estate</v>
      </c>
      <c r="D113" s="6" t="str">
        <f>Leads!I113</f>
        <v>Columbus, GA</v>
      </c>
      <c r="E113" s="6" t="str">
        <f>Leads!E113</f>
        <v>+1 706-992-5192</v>
      </c>
      <c r="F113" s="6" t="str">
        <f>Leads!D113</f>
        <v>Kristina Finney (agent/owner)</v>
      </c>
      <c r="G113" s="6" t="s">
        <v>2</v>
      </c>
      <c r="H113" s="6">
        <v>0.0</v>
      </c>
      <c r="I113" s="6"/>
      <c r="J113" s="6"/>
      <c r="K113" s="6"/>
      <c r="L113" s="6"/>
    </row>
    <row r="114" ht="23.25" customHeight="1">
      <c r="A114" s="6" t="str">
        <f>Leads!A114</f>
        <v>113</v>
      </c>
      <c r="B114" s="6" t="str">
        <f>Leads!C114</f>
        <v>McRae &amp; Associates Real Estate Group, Inc.</v>
      </c>
      <c r="C114" s="6" t="str">
        <f>Leads!B114</f>
        <v>Real Estate</v>
      </c>
      <c r="D114" s="6" t="str">
        <f>Leads!I114</f>
        <v>Marietta, GA</v>
      </c>
      <c r="E114" s="6" t="str">
        <f>Leads!E114</f>
        <v>Not public - phone not listed</v>
      </c>
      <c r="F114" s="6" t="str">
        <f>Leads!D114</f>
        <v>Shanda McRae (owner - confirm spelling)</v>
      </c>
      <c r="G114" s="6" t="s">
        <v>2</v>
      </c>
      <c r="H114" s="6">
        <v>0.0</v>
      </c>
      <c r="I114" s="6"/>
      <c r="J114" s="6"/>
      <c r="K114" s="6"/>
      <c r="L114" s="6"/>
    </row>
    <row r="115" ht="15.0" customHeight="1">
      <c r="A115" s="6" t="str">
        <f>Leads!A115</f>
        <v>114</v>
      </c>
      <c r="B115" s="6" t="str">
        <f>Leads!C115</f>
        <v>The Agency Atlanta - Clareo Group</v>
      </c>
      <c r="C115" s="6" t="str">
        <f>Leads!B115</f>
        <v>Real Estate</v>
      </c>
      <c r="D115" s="6" t="str">
        <f>Leads!I115</f>
        <v>Marietta, GA</v>
      </c>
      <c r="E115" s="6" t="str">
        <f>Leads!E115</f>
        <v>+1 470-990-4414</v>
      </c>
      <c r="F115" s="6" t="str">
        <f>Leads!D115</f>
        <v>Not identified - confirm on call</v>
      </c>
      <c r="G115" s="6" t="s">
        <v>2</v>
      </c>
      <c r="H115" s="6">
        <v>0.0</v>
      </c>
      <c r="I115" s="6"/>
      <c r="J115" s="6"/>
      <c r="K115" s="6"/>
      <c r="L115" s="6"/>
    </row>
    <row r="116" ht="15.0" customHeight="1">
      <c r="A116" s="6" t="str">
        <f>Leads!A116</f>
        <v>115</v>
      </c>
      <c r="B116" s="6" t="str">
        <f>Leads!C116</f>
        <v>Landmark Realty and Investments, LLC</v>
      </c>
      <c r="C116" s="6" t="str">
        <f>Leads!B116</f>
        <v>Real Estate</v>
      </c>
      <c r="D116" s="6" t="str">
        <f>Leads!I116</f>
        <v>Valdosta, GA</v>
      </c>
      <c r="E116" s="6" t="str">
        <f>Leads!E116</f>
        <v>+1 229-262-7305</v>
      </c>
      <c r="F116" s="6" t="str">
        <f>Leads!D116</f>
        <v>Tommy Cangelosi (owner)</v>
      </c>
      <c r="G116" s="6" t="s">
        <v>2</v>
      </c>
      <c r="H116" s="6">
        <v>0.0</v>
      </c>
      <c r="I116" s="6"/>
      <c r="J116" s="6"/>
      <c r="K116" s="6"/>
      <c r="L116" s="6"/>
    </row>
    <row r="117" ht="15.0" customHeight="1">
      <c r="A117" s="6" t="str">
        <f>Leads!A117</f>
        <v>116</v>
      </c>
      <c r="B117" s="6" t="str">
        <f>Leads!C117</f>
        <v>The American Dream</v>
      </c>
      <c r="C117" s="6" t="str">
        <f>Leads!B117</f>
        <v>Real Estate</v>
      </c>
      <c r="D117" s="6" t="str">
        <f>Leads!I117</f>
        <v>Valdosta, GA</v>
      </c>
      <c r="E117" s="6" t="str">
        <f>Leads!E117</f>
        <v>+1 229-262-1300</v>
      </c>
      <c r="F117" s="6" t="str">
        <f>Leads!D117</f>
        <v>Chris Russell (broker/owner)</v>
      </c>
      <c r="G117" s="6" t="s">
        <v>2</v>
      </c>
      <c r="H117" s="6">
        <v>0.0</v>
      </c>
      <c r="I117" s="6"/>
      <c r="J117" s="6"/>
      <c r="K117" s="6"/>
      <c r="L117" s="6"/>
    </row>
    <row r="118" ht="15.0" customHeight="1">
      <c r="A118" s="6" t="str">
        <f>Leads!A118</f>
        <v>117</v>
      </c>
      <c r="B118" s="6" t="str">
        <f>Leads!C118</f>
        <v>GPS Real Estate Company</v>
      </c>
      <c r="C118" s="6" t="str">
        <f>Leads!B118</f>
        <v>Real Estate</v>
      </c>
      <c r="D118" s="6" t="str">
        <f>Leads!I118</f>
        <v>Valdosta, GA</v>
      </c>
      <c r="E118" s="6" t="str">
        <f>Leads!E118</f>
        <v>+1 229-460-4147</v>
      </c>
      <c r="F118" s="6" t="str">
        <f>Leads!D118</f>
        <v>Chris (agent - confirm owner)</v>
      </c>
      <c r="G118" s="6" t="s">
        <v>2</v>
      </c>
      <c r="H118" s="6">
        <v>0.0</v>
      </c>
      <c r="I118" s="6"/>
      <c r="J118" s="6"/>
      <c r="K118" s="6"/>
      <c r="L118" s="6"/>
    </row>
    <row r="119" ht="15.0" customHeight="1">
      <c r="A119" s="6" t="str">
        <f>Leads!A119</f>
        <v>118</v>
      </c>
      <c r="B119" s="6" t="str">
        <f>Leads!C119</f>
        <v>The Westheimer Group</v>
      </c>
      <c r="C119" s="6" t="str">
        <f>Leads!B119</f>
        <v>Real Estate</v>
      </c>
      <c r="D119" s="6" t="str">
        <f>Leads!I119</f>
        <v>Dayton, OH</v>
      </c>
      <c r="E119" s="6" t="str">
        <f>Leads!E119</f>
        <v>+1 937-344-3478</v>
      </c>
      <c r="F119" s="6" t="str">
        <f>Leads!D119</f>
        <v>Laurie Westheimer (owner)</v>
      </c>
      <c r="G119" s="6" t="s">
        <v>2</v>
      </c>
      <c r="H119" s="6">
        <v>0.0</v>
      </c>
      <c r="I119" s="6"/>
      <c r="J119" s="6"/>
      <c r="K119" s="6"/>
      <c r="L119" s="6"/>
    </row>
    <row r="120" ht="15.0" customHeight="1">
      <c r="A120" s="6" t="str">
        <f>Leads!A120</f>
        <v>119</v>
      </c>
      <c r="B120" s="6" t="str">
        <f>Leads!C120</f>
        <v>Paolina Quafisi, RE/MAX Alliance Realty</v>
      </c>
      <c r="C120" s="6" t="str">
        <f>Leads!B120</f>
        <v>Real Estate</v>
      </c>
      <c r="D120" s="6" t="str">
        <f>Leads!I120</f>
        <v>Dayton, OH</v>
      </c>
      <c r="E120" s="6" t="str">
        <f>Leads!E120</f>
        <v>+1 937-672-2504</v>
      </c>
      <c r="F120" s="6" t="str">
        <f>Leads!D120</f>
        <v>Paolina Quafisi (agent/owner)</v>
      </c>
      <c r="G120" s="6" t="s">
        <v>2</v>
      </c>
      <c r="H120" s="6">
        <v>0.0</v>
      </c>
      <c r="I120" s="6"/>
      <c r="J120" s="6"/>
      <c r="K120" s="6"/>
      <c r="L120" s="6"/>
    </row>
    <row r="121" ht="15.0" customHeight="1">
      <c r="A121" s="6" t="str">
        <f>Leads!A121</f>
        <v>120</v>
      </c>
      <c r="B121" s="6" t="str">
        <f>Leads!C121</f>
        <v>Annette DePalmo, Realtor</v>
      </c>
      <c r="C121" s="6" t="str">
        <f>Leads!B121</f>
        <v>Real Estate</v>
      </c>
      <c r="D121" s="6" t="str">
        <f>Leads!I121</f>
        <v>Youngstown, OH</v>
      </c>
      <c r="E121" s="6" t="str">
        <f>Leads!E121</f>
        <v>+1 330-360-4538</v>
      </c>
      <c r="F121" s="6" t="str">
        <f>Leads!D121</f>
        <v>Annette DePalmo (owner)</v>
      </c>
      <c r="G121" s="6" t="s">
        <v>2</v>
      </c>
      <c r="H121" s="6">
        <v>0.0</v>
      </c>
      <c r="I121" s="6"/>
      <c r="J121" s="6"/>
      <c r="K121" s="6"/>
      <c r="L121" s="6"/>
    </row>
    <row r="122" ht="15.0" customHeight="1">
      <c r="A122" s="6" t="str">
        <f>Leads!A122</f>
        <v>121</v>
      </c>
      <c r="B122" s="6" t="str">
        <f>Leads!C122</f>
        <v>CENTURY 21 Lakeside Realty</v>
      </c>
      <c r="C122" s="6" t="str">
        <f>Leads!B122</f>
        <v>Real Estate</v>
      </c>
      <c r="D122" s="6" t="str">
        <f>Leads!I122</f>
        <v>Youngstown, OH</v>
      </c>
      <c r="E122" s="6" t="str">
        <f>Leads!E122</f>
        <v>+1 330-793-4200</v>
      </c>
      <c r="F122" s="6" t="str">
        <f>Leads!D122</f>
        <v>Not identified - confirm on call</v>
      </c>
      <c r="G122" s="6" t="s">
        <v>2</v>
      </c>
      <c r="H122" s="6">
        <v>0.0</v>
      </c>
      <c r="I122" s="6"/>
      <c r="J122" s="6"/>
      <c r="K122" s="6"/>
      <c r="L122" s="6"/>
    </row>
    <row r="123" ht="15.0" customHeight="1">
      <c r="A123" s="6" t="str">
        <f>Leads!A123</f>
        <v>122</v>
      </c>
      <c r="B123" s="6" t="str">
        <f>Leads!C123</f>
        <v>Ohio Realtor: Joey Marino</v>
      </c>
      <c r="C123" s="6" t="str">
        <f>Leads!B123</f>
        <v>Real Estate</v>
      </c>
      <c r="D123" s="6" t="str">
        <f>Leads!I123</f>
        <v>Canton, OH</v>
      </c>
      <c r="E123" s="6" t="str">
        <f>Leads!E123</f>
        <v>+1 330-412-2221</v>
      </c>
      <c r="F123" s="6" t="str">
        <f>Leads!D123</f>
        <v>Joey Marino III (owner/agent)</v>
      </c>
      <c r="G123" s="6" t="s">
        <v>2</v>
      </c>
      <c r="H123" s="6">
        <v>0.0</v>
      </c>
      <c r="I123" s="6"/>
      <c r="J123" s="6"/>
      <c r="K123" s="6"/>
      <c r="L123" s="6"/>
    </row>
    <row r="124" ht="15.0" customHeight="1">
      <c r="A124" s="6" t="str">
        <f>Leads!A124</f>
        <v>123</v>
      </c>
      <c r="B124" s="6" t="str">
        <f>Leads!C124</f>
        <v>Sarah Moon - Dunnigan Realtors</v>
      </c>
      <c r="C124" s="6" t="str">
        <f>Leads!B124</f>
        <v>Real Estate</v>
      </c>
      <c r="D124" s="6" t="str">
        <f>Leads!I124</f>
        <v>Sacramento, CA</v>
      </c>
      <c r="E124" s="6" t="str">
        <f>Leads!E124</f>
        <v>+1 916-743-4157</v>
      </c>
      <c r="F124" s="6" t="str">
        <f>Leads!D124</f>
        <v>Sarah Moon (agent)</v>
      </c>
      <c r="G124" s="6" t="s">
        <v>2</v>
      </c>
      <c r="H124" s="6">
        <v>0.0</v>
      </c>
      <c r="I124" s="6"/>
      <c r="J124" s="6"/>
      <c r="K124" s="6"/>
      <c r="L124" s="6"/>
    </row>
    <row r="125" ht="15.0" customHeight="1">
      <c r="A125" s="6" t="str">
        <f>Leads!A125</f>
        <v>124</v>
      </c>
      <c r="B125" s="6" t="str">
        <f>Leads!C125</f>
        <v>Infiniti Real Estate</v>
      </c>
      <c r="C125" s="6" t="str">
        <f>Leads!B125</f>
        <v>Real Estate</v>
      </c>
      <c r="D125" s="6" t="str">
        <f>Leads!I125</f>
        <v>San Jose, CA</v>
      </c>
      <c r="E125" s="6" t="str">
        <f>Leads!E125</f>
        <v>+1 408-667-3013</v>
      </c>
      <c r="F125" s="6" t="str">
        <f>Leads!D125</f>
        <v>Valerie (agent/owner - confirm)</v>
      </c>
      <c r="G125" s="6" t="s">
        <v>2</v>
      </c>
      <c r="H125" s="6">
        <v>0.0</v>
      </c>
      <c r="I125" s="6"/>
      <c r="J125" s="6"/>
      <c r="K125" s="6"/>
      <c r="L125" s="6"/>
    </row>
    <row r="126" ht="23.25" customHeight="1">
      <c r="A126" s="6" t="str">
        <f>Leads!A126</f>
        <v>125</v>
      </c>
      <c r="B126" s="6" t="str">
        <f>Leads!C126</f>
        <v>Pacificwide Real Estate &amp; Mortgage</v>
      </c>
      <c r="C126" s="6" t="str">
        <f>Leads!B126</f>
        <v>Real Estate</v>
      </c>
      <c r="D126" s="6" t="str">
        <f>Leads!I126</f>
        <v>San Jose, CA</v>
      </c>
      <c r="E126" s="6" t="str">
        <f>Leads!E126</f>
        <v>+1 408-532-1278</v>
      </c>
      <c r="F126" s="6" t="str">
        <f>Leads!D126</f>
        <v>Jonathan Pham (HR manager - confirm owner)</v>
      </c>
      <c r="G126" s="6" t="s">
        <v>2</v>
      </c>
      <c r="H126" s="6">
        <v>0.0</v>
      </c>
      <c r="I126" s="6"/>
      <c r="J126" s="6"/>
      <c r="K126" s="6"/>
      <c r="L126" s="6"/>
    </row>
    <row r="127" ht="23.25" customHeight="1">
      <c r="A127" s="6" t="str">
        <f>Leads!A127</f>
        <v>126</v>
      </c>
      <c r="B127" s="6" t="str">
        <f>Leads!C127</f>
        <v>West Associates, Real Estate Services</v>
      </c>
      <c r="C127" s="6" t="str">
        <f>Leads!B127</f>
        <v>Real Estate</v>
      </c>
      <c r="D127" s="6" t="str">
        <f>Leads!I127</f>
        <v>Long Beach, CA</v>
      </c>
      <c r="E127" s="6" t="str">
        <f>Leads!E127</f>
        <v>+1 888-662-8860</v>
      </c>
      <c r="F127" s="6" t="str">
        <f>Leads!D127</f>
        <v>Heather &amp; David (agents - confirm owner)</v>
      </c>
      <c r="G127" s="6" t="s">
        <v>2</v>
      </c>
      <c r="H127" s="6">
        <v>0.0</v>
      </c>
      <c r="I127" s="6"/>
      <c r="J127" s="6"/>
      <c r="K127" s="6"/>
      <c r="L127" s="6"/>
    </row>
    <row r="128" ht="15.0" customHeight="1">
      <c r="A128" s="6" t="str">
        <f>Leads!A128</f>
        <v>127</v>
      </c>
      <c r="B128" s="6" t="str">
        <f>Leads!C128</f>
        <v>Ms. Long Beach Real Estate</v>
      </c>
      <c r="C128" s="6" t="str">
        <f>Leads!B128</f>
        <v>Real Estate</v>
      </c>
      <c r="D128" s="6" t="str">
        <f>Leads!I128</f>
        <v>Long Beach, CA</v>
      </c>
      <c r="E128" s="6" t="str">
        <f>Leads!E128</f>
        <v>+1 562-843-5113</v>
      </c>
      <c r="F128" s="6" t="str">
        <f>Leads!D128</f>
        <v>Nikki Howell (agent/owner)</v>
      </c>
      <c r="G128" s="6" t="s">
        <v>2</v>
      </c>
      <c r="H128" s="6">
        <v>0.0</v>
      </c>
      <c r="I128" s="6"/>
      <c r="J128" s="6"/>
      <c r="K128" s="6"/>
      <c r="L128" s="6"/>
    </row>
    <row r="129" ht="23.25" customHeight="1">
      <c r="A129" s="6" t="str">
        <f>Leads!A129</f>
        <v>128</v>
      </c>
      <c r="B129" s="6" t="str">
        <f>Leads!C129</f>
        <v>Bert Aranda, Independent Real Estate Brokers</v>
      </c>
      <c r="C129" s="6" t="str">
        <f>Leads!B129</f>
        <v>Real Estate</v>
      </c>
      <c r="D129" s="6" t="str">
        <f>Leads!I129</f>
        <v>San Leandro, CA</v>
      </c>
      <c r="E129" s="6" t="str">
        <f>Leads!E129</f>
        <v>+1 510-507-2396</v>
      </c>
      <c r="F129" s="6" t="str">
        <f>Leads!D129</f>
        <v>Bert Aranda (owner)</v>
      </c>
      <c r="G129" s="6" t="s">
        <v>2</v>
      </c>
      <c r="H129" s="6">
        <v>0.0</v>
      </c>
      <c r="I129" s="6"/>
      <c r="J129" s="6"/>
      <c r="K129" s="6"/>
      <c r="L129" s="6"/>
    </row>
    <row r="130" ht="15.0" customHeight="1">
      <c r="A130" s="6" t="str">
        <f>Leads!A130</f>
        <v>129</v>
      </c>
      <c r="B130" s="6" t="str">
        <f>Leads!C130</f>
        <v>Independent Realty</v>
      </c>
      <c r="C130" s="6" t="str">
        <f>Leads!B130</f>
        <v>Real Estate</v>
      </c>
      <c r="D130" s="6" t="str">
        <f>Leads!I130</f>
        <v>San Leandro, CA</v>
      </c>
      <c r="E130" s="6" t="str">
        <f>Leads!E130</f>
        <v>+1 510-278-5800</v>
      </c>
      <c r="F130" s="6" t="str">
        <f>Leads!D130</f>
        <v>Not identified - confirm on call</v>
      </c>
      <c r="G130" s="6" t="s">
        <v>2</v>
      </c>
      <c r="H130" s="6">
        <v>0.0</v>
      </c>
      <c r="I130" s="6"/>
      <c r="J130" s="6"/>
      <c r="K130" s="6"/>
      <c r="L130" s="6"/>
    </row>
    <row r="131" ht="15.0" customHeight="1">
      <c r="A131" s="6" t="str">
        <f>Leads!A131</f>
        <v>130</v>
      </c>
      <c r="B131" s="6" t="str">
        <f>Leads!C131</f>
        <v>Meghan Shigo - Realtor</v>
      </c>
      <c r="C131" s="6" t="str">
        <f>Leads!B131</f>
        <v>Real Estate</v>
      </c>
      <c r="D131" s="6" t="str">
        <f>Leads!I131</f>
        <v>Anaheim, CA</v>
      </c>
      <c r="E131" s="6" t="str">
        <f>Leads!E131</f>
        <v>+1 714-273-1381</v>
      </c>
      <c r="F131" s="6" t="str">
        <f>Leads!D131</f>
        <v>Meghan Shigo (owner/agent)</v>
      </c>
      <c r="G131" s="6" t="s">
        <v>2</v>
      </c>
      <c r="H131" s="6">
        <v>0.0</v>
      </c>
      <c r="I131" s="6"/>
      <c r="J131" s="6"/>
      <c r="K131" s="6"/>
      <c r="L131" s="6"/>
    </row>
    <row r="132" ht="23.25" customHeight="1">
      <c r="A132" s="6" t="str">
        <f>Leads!A132</f>
        <v>131</v>
      </c>
      <c r="B132" s="6" t="str">
        <f>Leads!C132</f>
        <v>The Geronsins Real Estate Group</v>
      </c>
      <c r="C132" s="6" t="str">
        <f>Leads!B132</f>
        <v>Real Estate</v>
      </c>
      <c r="D132" s="6" t="str">
        <f>Leads!I132</f>
        <v>Anaheim, CA</v>
      </c>
      <c r="E132" s="6" t="str">
        <f>Leads!E132</f>
        <v>+1 714-602-3557</v>
      </c>
      <c r="F132" s="6" t="str">
        <f>Leads!D132</f>
        <v>George &amp; Carol Geronsin (owners)</v>
      </c>
      <c r="G132" s="6" t="s">
        <v>2</v>
      </c>
      <c r="H132" s="6">
        <v>0.0</v>
      </c>
      <c r="I132" s="6"/>
      <c r="J132" s="6"/>
      <c r="K132" s="6"/>
      <c r="L132" s="6"/>
    </row>
    <row r="133" ht="23.25" customHeight="1">
      <c r="A133" s="6" t="str">
        <f>Leads!A133</f>
        <v>132</v>
      </c>
      <c r="B133" s="6" t="str">
        <f>Leads!C133</f>
        <v>American Real Estate-List&amp;Sell</v>
      </c>
      <c r="C133" s="6" t="str">
        <f>Leads!B133</f>
        <v>Real Estate</v>
      </c>
      <c r="D133" s="6" t="str">
        <f>Leads!I133</f>
        <v>Riverside, CA</v>
      </c>
      <c r="E133" s="6" t="str">
        <f>Leads!E133</f>
        <v>+1 951-387-4174</v>
      </c>
      <c r="F133" s="6" t="str">
        <f>Leads!D133</f>
        <v>Lorraine / Jason D'Souza (agents/owners - confirm)</v>
      </c>
      <c r="G133" s="6" t="s">
        <v>2</v>
      </c>
      <c r="H133" s="6">
        <v>0.0</v>
      </c>
      <c r="I133" s="6"/>
      <c r="J133" s="6"/>
      <c r="K133" s="6"/>
      <c r="L133" s="6"/>
    </row>
    <row r="134" ht="23.25" customHeight="1">
      <c r="A134" s="6" t="str">
        <f>Leads!A134</f>
        <v>133</v>
      </c>
      <c r="B134" s="6" t="str">
        <f>Leads!C134</f>
        <v>Tower Real Estate Agency</v>
      </c>
      <c r="C134" s="6" t="str">
        <f>Leads!B134</f>
        <v>Real Estate</v>
      </c>
      <c r="D134" s="6" t="str">
        <f>Leads!I134</f>
        <v>Riverside, CA</v>
      </c>
      <c r="E134" s="6" t="str">
        <f>Leads!E134</f>
        <v>+1 951-369-8002</v>
      </c>
      <c r="F134" s="6" t="str">
        <f>Leads!D134</f>
        <v>Brent Lee &amp; Lauren Lee (owners)</v>
      </c>
      <c r="G134" s="6" t="s">
        <v>2</v>
      </c>
      <c r="H134" s="6">
        <v>0.0</v>
      </c>
      <c r="I134" s="6"/>
      <c r="J134" s="6"/>
      <c r="K134" s="6"/>
      <c r="L134" s="6"/>
    </row>
    <row r="135" ht="23.25" customHeight="1">
      <c r="A135" s="6" t="str">
        <f>Leads!A135</f>
        <v>134</v>
      </c>
      <c r="B135" s="6" t="str">
        <f>Leads!C135</f>
        <v>Marni Jimenez, Real Estate Agent, Grove Realty</v>
      </c>
      <c r="C135" s="6" t="str">
        <f>Leads!B135</f>
        <v>Real Estate</v>
      </c>
      <c r="D135" s="6" t="str">
        <f>Leads!I135</f>
        <v>Riverside, CA</v>
      </c>
      <c r="E135" s="6" t="str">
        <f>Leads!E135</f>
        <v>+1 951-990-8389</v>
      </c>
      <c r="F135" s="6" t="str">
        <f>Leads!D135</f>
        <v>Marni Jimenez (agent/owner)</v>
      </c>
      <c r="G135" s="6" t="s">
        <v>2</v>
      </c>
      <c r="H135" s="6">
        <v>0.0</v>
      </c>
      <c r="I135" s="6"/>
      <c r="J135" s="6"/>
      <c r="K135" s="6"/>
      <c r="L135" s="6"/>
    </row>
    <row r="136" ht="23.25" customHeight="1">
      <c r="A136" s="6" t="str">
        <f>Leads!A136</f>
        <v>135</v>
      </c>
      <c r="B136" s="6" t="str">
        <f>Leads!C136</f>
        <v>Pat Holkesvig - Stockton Real Estate Agent</v>
      </c>
      <c r="C136" s="6" t="str">
        <f>Leads!B136</f>
        <v>Real Estate</v>
      </c>
      <c r="D136" s="6" t="str">
        <f>Leads!I136</f>
        <v>Stockton, CA</v>
      </c>
      <c r="E136" s="6" t="str">
        <f>Leads!E136</f>
        <v>+1 209-471-0285</v>
      </c>
      <c r="F136" s="6" t="str">
        <f>Leads!D136</f>
        <v>Pat Holkesvig (owner/agent)</v>
      </c>
      <c r="G136" s="6" t="s">
        <v>2</v>
      </c>
      <c r="H136" s="6">
        <v>0.0</v>
      </c>
      <c r="I136" s="6"/>
      <c r="J136" s="6"/>
      <c r="K136" s="6"/>
      <c r="L136" s="6"/>
    </row>
    <row r="137" ht="15.0" customHeight="1">
      <c r="A137" s="6" t="str">
        <f>Leads!A137</f>
        <v>136</v>
      </c>
      <c r="B137" s="6" t="str">
        <f>Leads!C137</f>
        <v>Randy Thomas Real Estate Broker</v>
      </c>
      <c r="C137" s="6" t="str">
        <f>Leads!B137</f>
        <v>Real Estate</v>
      </c>
      <c r="D137" s="6" t="str">
        <f>Leads!I137</f>
        <v>Stockton, CA</v>
      </c>
      <c r="E137" s="6" t="str">
        <f>Leads!E137</f>
        <v>+1 209-810-8830</v>
      </c>
      <c r="F137" s="6" t="str">
        <f>Leads!D137</f>
        <v>Randy Thomas (owner/broker)</v>
      </c>
      <c r="G137" s="6" t="s">
        <v>2</v>
      </c>
      <c r="H137" s="6">
        <v>0.0</v>
      </c>
      <c r="I137" s="6"/>
      <c r="J137" s="6"/>
      <c r="K137" s="6"/>
      <c r="L137" s="6"/>
    </row>
    <row r="138" ht="15.0" customHeight="1">
      <c r="A138" s="6" t="str">
        <f>Leads!A138</f>
        <v>137</v>
      </c>
      <c r="B138" s="6" t="str">
        <f>Leads!C138</f>
        <v>Erives Enterprises Inc</v>
      </c>
      <c r="C138" s="6" t="str">
        <f>Leads!B138</f>
        <v>Logistics</v>
      </c>
      <c r="D138" s="6" t="str">
        <f>Leads!I138</f>
        <v>El Paso, TX</v>
      </c>
      <c r="E138" s="6" t="str">
        <f>Leads!E138</f>
        <v>+1 915-881-1749</v>
      </c>
      <c r="F138" s="6" t="str">
        <f>Leads!D138</f>
        <v>Cesar (contact - confirm owner)</v>
      </c>
      <c r="G138" s="6" t="s">
        <v>2</v>
      </c>
      <c r="H138" s="6">
        <v>0.0</v>
      </c>
      <c r="I138" s="6"/>
      <c r="J138" s="6"/>
      <c r="K138" s="6"/>
      <c r="L138" s="6"/>
    </row>
    <row r="139" ht="15.0" customHeight="1">
      <c r="A139" s="6" t="str">
        <f>Leads!A139</f>
        <v>138</v>
      </c>
      <c r="B139" s="6" t="str">
        <f>Leads!C139</f>
        <v>Campos Trucking</v>
      </c>
      <c r="C139" s="6" t="str">
        <f>Leads!B139</f>
        <v>Logistics</v>
      </c>
      <c r="D139" s="6" t="str">
        <f>Leads!I139</f>
        <v>El Paso, TX</v>
      </c>
      <c r="E139" s="6" t="str">
        <f>Leads!E139</f>
        <v>+1 915-852-0917</v>
      </c>
      <c r="F139" s="6" t="str">
        <f>Leads!D139</f>
        <v>Not identified - confirm on call</v>
      </c>
      <c r="G139" s="6" t="s">
        <v>2</v>
      </c>
      <c r="H139" s="6">
        <v>0.0</v>
      </c>
      <c r="I139" s="6"/>
      <c r="J139" s="6"/>
      <c r="K139" s="6"/>
      <c r="L139" s="6"/>
    </row>
    <row r="140" ht="15.0" customHeight="1">
      <c r="A140" s="6" t="str">
        <f>Leads!A140</f>
        <v>139</v>
      </c>
      <c r="B140" s="6" t="str">
        <f>Leads!C140</f>
        <v>Legend Transport - Corpus Christi</v>
      </c>
      <c r="C140" s="6" t="str">
        <f>Leads!B140</f>
        <v>Logistics</v>
      </c>
      <c r="D140" s="6" t="str">
        <f>Leads!I140</f>
        <v>Corpus Christi, TX</v>
      </c>
      <c r="E140" s="6" t="str">
        <f>Leads!E140</f>
        <v>+1 361-510-0166</v>
      </c>
      <c r="F140" s="6" t="str">
        <f>Leads!D140</f>
        <v>Not identified - confirm on call</v>
      </c>
      <c r="G140" s="6" t="s">
        <v>2</v>
      </c>
      <c r="H140" s="6">
        <v>0.0</v>
      </c>
      <c r="I140" s="6"/>
      <c r="J140" s="6"/>
      <c r="K140" s="6"/>
      <c r="L140" s="6"/>
    </row>
    <row r="141" ht="15.0" customHeight="1">
      <c r="A141" s="6" t="str">
        <f>Leads!A141</f>
        <v>140</v>
      </c>
      <c r="B141" s="6" t="str">
        <f>Leads!C141</f>
        <v>Timeline Logistics - Corpus Christi</v>
      </c>
      <c r="C141" s="6" t="str">
        <f>Leads!B141</f>
        <v>Logistics</v>
      </c>
      <c r="D141" s="6" t="str">
        <f>Leads!I141</f>
        <v>Corpus Christi, TX</v>
      </c>
      <c r="E141" s="6" t="str">
        <f>Leads!E141</f>
        <v>+1 866-973-4077</v>
      </c>
      <c r="F141" s="6" t="str">
        <f>Leads!D141</f>
        <v>Not identified - confirm on call</v>
      </c>
      <c r="G141" s="6" t="s">
        <v>2</v>
      </c>
      <c r="H141" s="6">
        <v>0.0</v>
      </c>
      <c r="I141" s="6"/>
      <c r="J141" s="6"/>
      <c r="K141" s="6"/>
      <c r="L141" s="6"/>
    </row>
    <row r="142" ht="15.0" customHeight="1">
      <c r="A142" s="6" t="str">
        <f>Leads!A142</f>
        <v>141</v>
      </c>
      <c r="B142" s="6" t="str">
        <f>Leads!C142</f>
        <v>Ayat Logistics</v>
      </c>
      <c r="C142" s="6" t="str">
        <f>Leads!B142</f>
        <v>Logistics</v>
      </c>
      <c r="D142" s="6" t="str">
        <f>Leads!I142</f>
        <v>Arlington, TX</v>
      </c>
      <c r="E142" s="6" t="str">
        <f>Leads!E142</f>
        <v>+1 817-460-0002</v>
      </c>
      <c r="F142" s="6" t="str">
        <f>Leads!D142</f>
        <v>Not identified - confirm on call</v>
      </c>
      <c r="G142" s="6" t="s">
        <v>2</v>
      </c>
      <c r="H142" s="6">
        <v>0.0</v>
      </c>
      <c r="I142" s="6"/>
      <c r="J142" s="6"/>
      <c r="K142" s="6"/>
      <c r="L142" s="6"/>
    </row>
    <row r="143" ht="15.0" customHeight="1">
      <c r="A143" s="6" t="str">
        <f>Leads!A143</f>
        <v>142</v>
      </c>
      <c r="B143" s="6" t="str">
        <f>Leads!C143</f>
        <v>Bancroft and Sons Transportation LLC</v>
      </c>
      <c r="C143" s="6" t="str">
        <f>Leads!B143</f>
        <v>Logistics</v>
      </c>
      <c r="D143" s="6" t="str">
        <f>Leads!I143</f>
        <v>Grand Prairie, TX</v>
      </c>
      <c r="E143" s="6" t="str">
        <f>Leads!E143</f>
        <v>+1 972-790-3777</v>
      </c>
      <c r="F143" s="6" t="str">
        <f>Leads!D143</f>
        <v>Not identified - confirm on call</v>
      </c>
      <c r="G143" s="6" t="s">
        <v>2</v>
      </c>
      <c r="H143" s="6">
        <v>0.0</v>
      </c>
      <c r="I143" s="6"/>
      <c r="J143" s="6"/>
      <c r="K143" s="6"/>
      <c r="L143" s="6"/>
    </row>
    <row r="144" ht="15.0" customHeight="1">
      <c r="A144" s="6" t="str">
        <f>Leads!A144</f>
        <v>143</v>
      </c>
      <c r="B144" s="6" t="str">
        <f>Leads!C144</f>
        <v>Car Shipping Carriers | Plano</v>
      </c>
      <c r="C144" s="6" t="str">
        <f>Leads!B144</f>
        <v>Logistics</v>
      </c>
      <c r="D144" s="6" t="str">
        <f>Leads!I144</f>
        <v>Plano, TX</v>
      </c>
      <c r="E144" s="6" t="str">
        <f>Leads!E144</f>
        <v>+1 469-613-2070</v>
      </c>
      <c r="F144" s="6" t="str">
        <f>Leads!D144</f>
        <v>Louis (agent - confirm owner)</v>
      </c>
      <c r="G144" s="6" t="s">
        <v>2</v>
      </c>
      <c r="H144" s="6">
        <v>0.0</v>
      </c>
      <c r="I144" s="6"/>
      <c r="J144" s="6"/>
      <c r="K144" s="6"/>
      <c r="L144" s="6"/>
    </row>
    <row r="145" ht="15.0" customHeight="1">
      <c r="A145" s="6" t="str">
        <f>Leads!A145</f>
        <v>144</v>
      </c>
      <c r="B145" s="6" t="str">
        <f>Leads!C145</f>
        <v>Dan's Transport LLC</v>
      </c>
      <c r="C145" s="6" t="str">
        <f>Leads!B145</f>
        <v>Logistics</v>
      </c>
      <c r="D145" s="6" t="str">
        <f>Leads!I145</f>
        <v>Waco, TX</v>
      </c>
      <c r="E145" s="6" t="str">
        <f>Leads!E145</f>
        <v>+1 254-412-1923</v>
      </c>
      <c r="F145" s="6" t="str">
        <f>Leads!D145</f>
        <v>Not identified - confirm on call</v>
      </c>
      <c r="G145" s="6" t="s">
        <v>2</v>
      </c>
      <c r="H145" s="6">
        <v>0.0</v>
      </c>
      <c r="I145" s="6"/>
      <c r="J145" s="6"/>
      <c r="K145" s="6"/>
      <c r="L145" s="6"/>
    </row>
    <row r="146" ht="15.0" customHeight="1">
      <c r="A146" s="6" t="str">
        <f>Leads!A146</f>
        <v>145</v>
      </c>
      <c r="B146" s="6" t="str">
        <f>Leads!C146</f>
        <v>Schwerman Trucking Co</v>
      </c>
      <c r="C146" s="6" t="str">
        <f>Leads!B146</f>
        <v>Logistics</v>
      </c>
      <c r="D146" s="6" t="str">
        <f>Leads!I146</f>
        <v>Waco, TX</v>
      </c>
      <c r="E146" s="6" t="str">
        <f>Leads!E146</f>
        <v>+1 254-776-1012</v>
      </c>
      <c r="F146" s="6" t="str">
        <f>Leads!D146</f>
        <v>Not identified - confirm on call</v>
      </c>
      <c r="G146" s="6" t="s">
        <v>2</v>
      </c>
      <c r="H146" s="6">
        <v>0.0</v>
      </c>
      <c r="I146" s="6"/>
      <c r="J146" s="6"/>
      <c r="K146" s="6"/>
      <c r="L146" s="6"/>
    </row>
    <row r="147" ht="15.0" customHeight="1">
      <c r="A147" s="6" t="str">
        <f>Leads!A147</f>
        <v>146</v>
      </c>
      <c r="B147" s="6" t="str">
        <f>Leads!C147</f>
        <v>Wes Hillin Trucking, LLC</v>
      </c>
      <c r="C147" s="6" t="str">
        <f>Leads!B147</f>
        <v>Logistics</v>
      </c>
      <c r="D147" s="6" t="str">
        <f>Leads!I147</f>
        <v>China Spring, TX</v>
      </c>
      <c r="E147" s="6" t="str">
        <f>Leads!E147</f>
        <v>+1 254-366-3941</v>
      </c>
      <c r="F147" s="6" t="str">
        <f>Leads!D147</f>
        <v>Wes &amp; Christi Hillin (owners)</v>
      </c>
      <c r="G147" s="6" t="s">
        <v>2</v>
      </c>
      <c r="H147" s="6">
        <v>0.0</v>
      </c>
      <c r="I147" s="6"/>
      <c r="J147" s="6"/>
      <c r="K147" s="6"/>
      <c r="L147" s="6"/>
    </row>
    <row r="148" ht="23.25" customHeight="1">
      <c r="A148" s="6" t="str">
        <f>Leads!A148</f>
        <v>147</v>
      </c>
      <c r="B148" s="6" t="str">
        <f>Leads!C148</f>
        <v>Watson Trucking</v>
      </c>
      <c r="C148" s="6" t="str">
        <f>Leads!B148</f>
        <v>Logistics</v>
      </c>
      <c r="D148" s="6" t="str">
        <f>Leads!I148</f>
        <v>Athens, GA</v>
      </c>
      <c r="E148" s="6" t="str">
        <f>Leads!E148</f>
        <v>+1 706-548-1005</v>
      </c>
      <c r="F148" s="6" t="str">
        <f>Leads!D148</f>
        <v>Not identified - family-owned per reviews, confirm</v>
      </c>
      <c r="G148" s="6" t="s">
        <v>2</v>
      </c>
      <c r="H148" s="6">
        <v>0.0</v>
      </c>
      <c r="I148" s="6"/>
      <c r="J148" s="6"/>
      <c r="K148" s="6"/>
      <c r="L148" s="6"/>
    </row>
    <row r="149" ht="23.25" customHeight="1">
      <c r="A149" s="6" t="str">
        <f>Leads!A149</f>
        <v>148</v>
      </c>
      <c r="B149" s="6" t="str">
        <f>Leads!C149</f>
        <v>Double A Hauling</v>
      </c>
      <c r="C149" s="6" t="str">
        <f>Leads!B149</f>
        <v>Logistics</v>
      </c>
      <c r="D149" s="6" t="str">
        <f>Leads!I149</f>
        <v>Winterville, GA</v>
      </c>
      <c r="E149" s="6" t="str">
        <f>Leads!E149</f>
        <v>+1 706-338-1402</v>
      </c>
      <c r="F149" s="6" t="str">
        <f>Leads!D149</f>
        <v>Travis Caldwell (mentioned - confirm owner)</v>
      </c>
      <c r="G149" s="6" t="s">
        <v>2</v>
      </c>
      <c r="H149" s="6">
        <v>0.0</v>
      </c>
      <c r="I149" s="6"/>
      <c r="J149" s="6"/>
      <c r="K149" s="6"/>
      <c r="L149" s="6"/>
    </row>
    <row r="150" ht="15.0" customHeight="1">
      <c r="A150" s="6" t="str">
        <f>Leads!A150</f>
        <v>149</v>
      </c>
      <c r="B150" s="6" t="str">
        <f>Leads!C150</f>
        <v>Teri Harris Trucking</v>
      </c>
      <c r="C150" s="6" t="str">
        <f>Leads!B150</f>
        <v>Logistics</v>
      </c>
      <c r="D150" s="6" t="str">
        <f>Leads!I150</f>
        <v>Athens, GA</v>
      </c>
      <c r="E150" s="6" t="str">
        <f>Leads!E150</f>
        <v>+1 706-543-0061</v>
      </c>
      <c r="F150" s="6" t="str">
        <f>Leads!D150</f>
        <v>Teri Harris (owner)</v>
      </c>
      <c r="G150" s="6" t="s">
        <v>2</v>
      </c>
      <c r="H150" s="6">
        <v>0.0</v>
      </c>
      <c r="I150" s="6"/>
      <c r="J150" s="6"/>
      <c r="K150" s="6"/>
      <c r="L150" s="6"/>
    </row>
    <row r="151" ht="23.25" customHeight="1">
      <c r="A151" s="6" t="str">
        <f>Leads!A151</f>
        <v>150</v>
      </c>
      <c r="B151" s="6" t="str">
        <f>Leads!C151</f>
        <v>Marathon Transportation and Logistics, inc</v>
      </c>
      <c r="C151" s="6" t="str">
        <f>Leads!B151</f>
        <v>Logistics</v>
      </c>
      <c r="D151" s="6" t="str">
        <f>Leads!I151</f>
        <v>Columbus, GA</v>
      </c>
      <c r="E151" s="6" t="str">
        <f>Leads!E151</f>
        <v>+1 706-442-0094</v>
      </c>
      <c r="F151" s="6" t="str">
        <f>Leads!D151</f>
        <v>Not identified - confirm on call</v>
      </c>
      <c r="G151" s="6" t="s">
        <v>2</v>
      </c>
      <c r="H151" s="6">
        <v>0.0</v>
      </c>
      <c r="I151" s="6"/>
      <c r="J151" s="6"/>
      <c r="K151" s="6"/>
      <c r="L151" s="6"/>
    </row>
    <row r="152" ht="23.25" customHeight="1">
      <c r="A152" s="6" t="str">
        <f>Leads!A152</f>
        <v>151</v>
      </c>
      <c r="B152" s="6" t="str">
        <f>Leads!C152</f>
        <v>TRANSWORTH</v>
      </c>
      <c r="C152" s="6" t="str">
        <f>Leads!B152</f>
        <v>Logistics</v>
      </c>
      <c r="D152" s="6" t="str">
        <f>Leads!I152</f>
        <v>Columbus, GA</v>
      </c>
      <c r="E152" s="6" t="str">
        <f>Leads!E152</f>
        <v>+1 866-251-4200</v>
      </c>
      <c r="F152" s="6" t="str">
        <f>Leads!D152</f>
        <v>Lee Hollingsworth (mentioned - confirm owner)</v>
      </c>
      <c r="G152" s="6" t="s">
        <v>2</v>
      </c>
      <c r="H152" s="6">
        <v>0.0</v>
      </c>
      <c r="I152" s="6"/>
      <c r="J152" s="6"/>
      <c r="K152" s="6"/>
      <c r="L152" s="6"/>
    </row>
    <row r="153" ht="15.0" customHeight="1">
      <c r="A153" s="6" t="str">
        <f>Leads!A153</f>
        <v>152</v>
      </c>
      <c r="B153" s="6" t="str">
        <f>Leads!C153</f>
        <v>Sky Bird Logistics, LLC</v>
      </c>
      <c r="C153" s="6" t="str">
        <f>Leads!B153</f>
        <v>Logistics</v>
      </c>
      <c r="D153" s="6" t="str">
        <f>Leads!I153</f>
        <v>Smyrna, GA</v>
      </c>
      <c r="E153" s="6" t="str">
        <f>Leads!E153</f>
        <v>+1 404-835-0750</v>
      </c>
      <c r="F153" s="6" t="str">
        <f>Leads!D153</f>
        <v>Donovan Smith (owner)</v>
      </c>
      <c r="G153" s="6" t="s">
        <v>2</v>
      </c>
      <c r="H153" s="6">
        <v>0.0</v>
      </c>
      <c r="I153" s="6"/>
      <c r="J153" s="6"/>
      <c r="K153" s="6"/>
      <c r="L153" s="6"/>
    </row>
    <row r="154" ht="15.0" customHeight="1">
      <c r="A154" s="6" t="str">
        <f>Leads!A154</f>
        <v>153</v>
      </c>
      <c r="B154" s="6" t="str">
        <f>Leads!C154</f>
        <v>We Know Logistics, LLC</v>
      </c>
      <c r="C154" s="6" t="str">
        <f>Leads!B154</f>
        <v>Logistics</v>
      </c>
      <c r="D154" s="6" t="str">
        <f>Leads!I154</f>
        <v>Acworth, GA</v>
      </c>
      <c r="E154" s="6" t="str">
        <f>Leads!E154</f>
        <v>+1 770-410-8290</v>
      </c>
      <c r="F154" s="6" t="str">
        <f>Leads!D154</f>
        <v>Not identified - confirm on call</v>
      </c>
      <c r="G154" s="6" t="s">
        <v>2</v>
      </c>
      <c r="H154" s="6">
        <v>0.0</v>
      </c>
      <c r="I154" s="6"/>
      <c r="J154" s="6"/>
      <c r="K154" s="6"/>
      <c r="L154" s="6"/>
    </row>
    <row r="155" ht="15.0" customHeight="1">
      <c r="A155" s="6" t="str">
        <f>Leads!A155</f>
        <v>154</v>
      </c>
      <c r="B155" s="6" t="str">
        <f>Leads!C155</f>
        <v>Taylor Transports</v>
      </c>
      <c r="C155" s="6" t="str">
        <f>Leads!B155</f>
        <v>Logistics</v>
      </c>
      <c r="D155" s="6" t="str">
        <f>Leads!I155</f>
        <v>Dayton, OH</v>
      </c>
      <c r="E155" s="6" t="str">
        <f>Leads!E155</f>
        <v>+1 937-949-5309</v>
      </c>
      <c r="F155" s="6" t="str">
        <f>Leads!D155</f>
        <v>Not identified - confirm on call</v>
      </c>
      <c r="G155" s="6" t="s">
        <v>2</v>
      </c>
      <c r="H155" s="6">
        <v>0.0</v>
      </c>
      <c r="I155" s="6"/>
      <c r="J155" s="6"/>
      <c r="K155" s="6"/>
      <c r="L155" s="6"/>
    </row>
    <row r="156" ht="23.25" customHeight="1">
      <c r="A156" s="6" t="str">
        <f>Leads!A156</f>
        <v>155</v>
      </c>
      <c r="B156" s="6" t="str">
        <f>Leads!C156</f>
        <v>King's Transfer</v>
      </c>
      <c r="C156" s="6" t="str">
        <f>Leads!B156</f>
        <v>Logistics</v>
      </c>
      <c r="D156" s="6" t="str">
        <f>Leads!I156</f>
        <v>Dayton, OH</v>
      </c>
      <c r="E156" s="6" t="str">
        <f>Leads!E156</f>
        <v>+1 937-254-6441</v>
      </c>
      <c r="F156" s="6" t="str">
        <f>Leads!D156</f>
        <v>Not identified - family-owned per reviews, confirm</v>
      </c>
      <c r="G156" s="6" t="s">
        <v>2</v>
      </c>
      <c r="H156" s="6">
        <v>0.0</v>
      </c>
      <c r="I156" s="6"/>
      <c r="J156" s="6"/>
      <c r="K156" s="6"/>
      <c r="L156" s="6"/>
    </row>
    <row r="157" ht="15.0" customHeight="1">
      <c r="A157" s="6" t="str">
        <f>Leads!A157</f>
        <v>156</v>
      </c>
      <c r="B157" s="6" t="str">
        <f>Leads!C157</f>
        <v>Platinum Express</v>
      </c>
      <c r="C157" s="6" t="str">
        <f>Leads!B157</f>
        <v>Logistics</v>
      </c>
      <c r="D157" s="6" t="str">
        <f>Leads!I157</f>
        <v>Dayton, OH</v>
      </c>
      <c r="E157" s="6" t="str">
        <f>Leads!E157</f>
        <v>+1 937-235-9589</v>
      </c>
      <c r="F157" s="6" t="str">
        <f>Leads!D157</f>
        <v>Not identified - confirm on call</v>
      </c>
      <c r="G157" s="6" t="s">
        <v>2</v>
      </c>
      <c r="H157" s="6">
        <v>0.0</v>
      </c>
      <c r="I157" s="6"/>
      <c r="J157" s="6"/>
      <c r="K157" s="6"/>
      <c r="L157" s="6"/>
    </row>
    <row r="158" ht="23.25" customHeight="1">
      <c r="A158" s="6" t="str">
        <f>Leads!A158</f>
        <v>157</v>
      </c>
      <c r="B158" s="6" t="str">
        <f>Leads!C158</f>
        <v>R&amp;J Trucking Inc</v>
      </c>
      <c r="C158" s="6" t="str">
        <f>Leads!B158</f>
        <v>Logistics</v>
      </c>
      <c r="D158" s="6" t="str">
        <f>Leads!I158</f>
        <v>Youngstown, OH</v>
      </c>
      <c r="E158" s="6" t="str">
        <f>Leads!E158</f>
        <v>+1 330-758-0841</v>
      </c>
      <c r="F158" s="6" t="str">
        <f>Leads!D158</f>
        <v>Brian Muzer (dispatcher - confirm owner)</v>
      </c>
      <c r="G158" s="6" t="s">
        <v>2</v>
      </c>
      <c r="H158" s="6">
        <v>0.0</v>
      </c>
      <c r="I158" s="6"/>
      <c r="J158" s="6"/>
      <c r="K158" s="6"/>
      <c r="L158" s="6"/>
    </row>
    <row r="159" ht="15.0" customHeight="1">
      <c r="A159" s="6" t="str">
        <f>Leads!A159</f>
        <v>158</v>
      </c>
      <c r="B159" s="6" t="str">
        <f>Leads!C159</f>
        <v>Southwind Transportation Inc</v>
      </c>
      <c r="C159" s="6" t="str">
        <f>Leads!B159</f>
        <v>Logistics</v>
      </c>
      <c r="D159" s="6" t="str">
        <f>Leads!I159</f>
        <v>Youngstown, OH</v>
      </c>
      <c r="E159" s="6" t="str">
        <f>Leads!E159</f>
        <v>+1 330-270-0102</v>
      </c>
      <c r="F159" s="6" t="str">
        <f>Leads!D159</f>
        <v>Not identified - confirm on call</v>
      </c>
      <c r="G159" s="6" t="s">
        <v>2</v>
      </c>
      <c r="H159" s="6">
        <v>0.0</v>
      </c>
      <c r="I159" s="6"/>
      <c r="J159" s="6"/>
      <c r="K159" s="6"/>
      <c r="L159" s="6"/>
    </row>
    <row r="160" ht="15.0" customHeight="1">
      <c r="A160" s="6" t="str">
        <f>Leads!A160</f>
        <v>159</v>
      </c>
      <c r="B160" s="6" t="str">
        <f>Leads!C160</f>
        <v>bethel trans, ltd.</v>
      </c>
      <c r="C160" s="6" t="str">
        <f>Leads!B160</f>
        <v>Logistics</v>
      </c>
      <c r="D160" s="6" t="str">
        <f>Leads!I160</f>
        <v>Youngstown, OH</v>
      </c>
      <c r="E160" s="6" t="str">
        <f>Leads!E160</f>
        <v>+1 330-757-7149</v>
      </c>
      <c r="F160" s="6" t="str">
        <f>Leads!D160</f>
        <v>Not identified - confirm on call</v>
      </c>
      <c r="G160" s="6" t="s">
        <v>2</v>
      </c>
      <c r="H160" s="6">
        <v>0.0</v>
      </c>
      <c r="I160" s="6"/>
      <c r="J160" s="6"/>
      <c r="K160" s="6"/>
      <c r="L160" s="6"/>
    </row>
    <row r="161" ht="15.0" customHeight="1">
      <c r="A161" s="6" t="str">
        <f>Leads!A161</f>
        <v>160</v>
      </c>
      <c r="B161" s="6" t="str">
        <f>Leads!C161</f>
        <v>GMT Resources, LLC</v>
      </c>
      <c r="C161" s="6" t="str">
        <f>Leads!B161</f>
        <v>Logistics</v>
      </c>
      <c r="D161" s="6" t="str">
        <f>Leads!I161</f>
        <v>Canton, OH</v>
      </c>
      <c r="E161" s="6" t="str">
        <f>Leads!E161</f>
        <v>+1 330-787-8900</v>
      </c>
      <c r="F161" s="6" t="str">
        <f>Leads!D161</f>
        <v>Not identified - confirm on call</v>
      </c>
      <c r="G161" s="6" t="s">
        <v>2</v>
      </c>
      <c r="H161" s="6">
        <v>0.0</v>
      </c>
      <c r="I161" s="6"/>
      <c r="J161" s="6"/>
      <c r="K161" s="6"/>
      <c r="L161" s="6"/>
    </row>
    <row r="162" ht="15.0" customHeight="1">
      <c r="A162" s="6" t="str">
        <f>Leads!A162</f>
        <v>161</v>
      </c>
      <c r="B162" s="6" t="str">
        <f>Leads!C162</f>
        <v>Lehmiller's Trucking</v>
      </c>
      <c r="C162" s="6" t="str">
        <f>Leads!B162</f>
        <v>Logistics</v>
      </c>
      <c r="D162" s="6" t="str">
        <f>Leads!I162</f>
        <v>Canton, OH</v>
      </c>
      <c r="E162" s="6" t="str">
        <f>Leads!E162</f>
        <v>+1 330-452-6533</v>
      </c>
      <c r="F162" s="6" t="str">
        <f>Leads!D162</f>
        <v>Not identified - confirm on call</v>
      </c>
      <c r="G162" s="6" t="s">
        <v>2</v>
      </c>
      <c r="H162" s="6">
        <v>0.0</v>
      </c>
      <c r="I162" s="6"/>
      <c r="J162" s="6"/>
      <c r="K162" s="6"/>
      <c r="L162" s="6"/>
    </row>
    <row r="163" ht="15.0" customHeight="1">
      <c r="A163" s="6" t="str">
        <f>Leads!A163</f>
        <v>162</v>
      </c>
      <c r="B163" s="6" t="str">
        <f>Leads!C163</f>
        <v>VLT express Inc</v>
      </c>
      <c r="C163" s="6" t="str">
        <f>Leads!B163</f>
        <v>Logistics</v>
      </c>
      <c r="D163" s="6" t="str">
        <f>Leads!I163</f>
        <v>Sacramento, CA</v>
      </c>
      <c r="E163" s="6" t="str">
        <f>Leads!E163</f>
        <v>+1 916-580-5909</v>
      </c>
      <c r="F163" s="6" t="str">
        <f>Leads!D163</f>
        <v>Not identified - confirm on call</v>
      </c>
      <c r="G163" s="6" t="s">
        <v>2</v>
      </c>
      <c r="H163" s="6">
        <v>0.0</v>
      </c>
      <c r="I163" s="6"/>
      <c r="J163" s="6"/>
      <c r="K163" s="6"/>
      <c r="L163" s="6"/>
    </row>
    <row r="164" ht="15.0" customHeight="1">
      <c r="A164" s="6" t="str">
        <f>Leads!A164</f>
        <v>163</v>
      </c>
      <c r="B164" s="6" t="str">
        <f>Leads!C164</f>
        <v>CargoX Transport Inc</v>
      </c>
      <c r="C164" s="6" t="str">
        <f>Leads!B164</f>
        <v>Logistics</v>
      </c>
      <c r="D164" s="6" t="str">
        <f>Leads!I164</f>
        <v>Sacramento, CA</v>
      </c>
      <c r="E164" s="6" t="str">
        <f>Leads!E164</f>
        <v>+1 800-501-2032</v>
      </c>
      <c r="F164" s="6" t="str">
        <f>Leads!D164</f>
        <v>Not identified - confirm on call</v>
      </c>
      <c r="G164" s="6" t="s">
        <v>2</v>
      </c>
      <c r="H164" s="6">
        <v>0.0</v>
      </c>
      <c r="I164" s="6"/>
      <c r="J164" s="6"/>
      <c r="K164" s="6"/>
      <c r="L164" s="6"/>
    </row>
    <row r="165" ht="15.0" customHeight="1">
      <c r="A165" s="6" t="str">
        <f>Leads!A165</f>
        <v>164</v>
      </c>
      <c r="B165" s="6" t="str">
        <f>Leads!C165</f>
        <v>Baytrans Inc.</v>
      </c>
      <c r="C165" s="6" t="str">
        <f>Leads!B165</f>
        <v>Logistics</v>
      </c>
      <c r="D165" s="6" t="str">
        <f>Leads!I165</f>
        <v>Sacramento, CA</v>
      </c>
      <c r="E165" s="6" t="str">
        <f>Leads!E165</f>
        <v>+1 704-759-6920</v>
      </c>
      <c r="F165" s="6" t="str">
        <f>Leads!D165</f>
        <v>Not identified - confirm on call</v>
      </c>
      <c r="G165" s="6" t="s">
        <v>2</v>
      </c>
      <c r="H165" s="6">
        <v>0.0</v>
      </c>
      <c r="I165" s="6"/>
      <c r="J165" s="6"/>
      <c r="K165" s="6"/>
      <c r="L165" s="6"/>
    </row>
    <row r="166" ht="15.0" customHeight="1">
      <c r="A166" s="6" t="str">
        <f>Leads!A166</f>
        <v>165</v>
      </c>
      <c r="B166" s="6" t="str">
        <f>Leads!C166</f>
        <v>Navis Pack &amp; Ship</v>
      </c>
      <c r="C166" s="6" t="str">
        <f>Leads!B166</f>
        <v>Logistics</v>
      </c>
      <c r="D166" s="6" t="str">
        <f>Leads!I166</f>
        <v>San Jose, CA</v>
      </c>
      <c r="E166" s="6" t="str">
        <f>Leads!E166</f>
        <v>+1 408-955-7225</v>
      </c>
      <c r="F166" s="6" t="str">
        <f>Leads!D166</f>
        <v>Not identified - confirm on call</v>
      </c>
      <c r="G166" s="6" t="s">
        <v>2</v>
      </c>
      <c r="H166" s="6">
        <v>0.0</v>
      </c>
      <c r="I166" s="6"/>
      <c r="J166" s="6"/>
      <c r="K166" s="6"/>
      <c r="L166" s="6"/>
    </row>
    <row r="167" ht="23.25" customHeight="1">
      <c r="A167" s="6" t="str">
        <f>Leads!A167</f>
        <v>166</v>
      </c>
      <c r="B167" s="6" t="str">
        <f>Leads!C167</f>
        <v>Craters &amp; Freighters Bay Area</v>
      </c>
      <c r="C167" s="6" t="str">
        <f>Leads!B167</f>
        <v>Logistics</v>
      </c>
      <c r="D167" s="6" t="str">
        <f>Leads!I167</f>
        <v>San Jose, CA</v>
      </c>
      <c r="E167" s="6" t="str">
        <f>Leads!E167</f>
        <v>+1 408-392-9722</v>
      </c>
      <c r="F167" s="6" t="str">
        <f>Leads!D167</f>
        <v>Wil Cannon / Monty S. (staff - confirm owner)</v>
      </c>
      <c r="G167" s="6" t="s">
        <v>2</v>
      </c>
      <c r="H167" s="6">
        <v>0.0</v>
      </c>
      <c r="I167" s="6"/>
      <c r="J167" s="6"/>
      <c r="K167" s="6"/>
      <c r="L167" s="6"/>
    </row>
    <row r="168" ht="15.0" customHeight="1">
      <c r="A168" s="6" t="str">
        <f>Leads!A168</f>
        <v>167</v>
      </c>
      <c r="B168" s="6" t="str">
        <f>Leads!C168</f>
        <v>Three Rivers Trucking Inc</v>
      </c>
      <c r="C168" s="6" t="str">
        <f>Leads!B168</f>
        <v>Logistics</v>
      </c>
      <c r="D168" s="6" t="str">
        <f>Leads!I168</f>
        <v>Long Beach, CA</v>
      </c>
      <c r="E168" s="6" t="str">
        <f>Leads!E168</f>
        <v>+1 562-432-0628</v>
      </c>
      <c r="F168" s="6" t="str">
        <f>Leads!D168</f>
        <v>Not identified - confirm on call</v>
      </c>
      <c r="G168" s="6" t="s">
        <v>2</v>
      </c>
      <c r="H168" s="6">
        <v>0.0</v>
      </c>
      <c r="I168" s="6"/>
      <c r="J168" s="6"/>
      <c r="K168" s="6"/>
      <c r="L168" s="6"/>
    </row>
    <row r="169" ht="15.0" customHeight="1">
      <c r="A169" s="6" t="str">
        <f>Leads!A169</f>
        <v>168</v>
      </c>
      <c r="B169" s="6" t="str">
        <f>Leads!C169</f>
        <v>Chozen Trucking Co</v>
      </c>
      <c r="C169" s="6" t="str">
        <f>Leads!B169</f>
        <v>Logistics</v>
      </c>
      <c r="D169" s="6" t="str">
        <f>Leads!I169</f>
        <v>Long Beach, CA</v>
      </c>
      <c r="E169" s="6" t="str">
        <f>Leads!E169</f>
        <v>+1 562-427-5672</v>
      </c>
      <c r="F169" s="6" t="str">
        <f>Leads!D169</f>
        <v>Joe (owner)</v>
      </c>
      <c r="G169" s="6" t="s">
        <v>2</v>
      </c>
      <c r="H169" s="6">
        <v>0.0</v>
      </c>
      <c r="I169" s="6"/>
      <c r="J169" s="6"/>
      <c r="K169" s="6"/>
      <c r="L169" s="6"/>
    </row>
    <row r="170" ht="15.0" customHeight="1">
      <c r="A170" s="6" t="str">
        <f>Leads!A170</f>
        <v>169</v>
      </c>
      <c r="B170" s="6" t="str">
        <f>Leads!C170</f>
        <v>Shore Logistics</v>
      </c>
      <c r="C170" s="6" t="str">
        <f>Leads!B170</f>
        <v>Logistics</v>
      </c>
      <c r="D170" s="6" t="str">
        <f>Leads!I170</f>
        <v>Long Beach, CA</v>
      </c>
      <c r="E170" s="6" t="str">
        <f>Leads!E170</f>
        <v>+1 310-355-8338</v>
      </c>
      <c r="F170" s="6" t="str">
        <f>Leads!D170</f>
        <v>Not identified - confirm on call</v>
      </c>
      <c r="G170" s="6" t="s">
        <v>2</v>
      </c>
      <c r="H170" s="6">
        <v>0.0</v>
      </c>
      <c r="I170" s="6"/>
      <c r="J170" s="6"/>
      <c r="K170" s="6"/>
      <c r="L170" s="6"/>
    </row>
    <row r="171" ht="15.0" customHeight="1">
      <c r="A171" s="6" t="str">
        <f>Leads!A171</f>
        <v>170</v>
      </c>
      <c r="B171" s="6" t="str">
        <f>Leads!C171</f>
        <v>S.F. Enterprises</v>
      </c>
      <c r="C171" s="6" t="str">
        <f>Leads!B171</f>
        <v>Logistics</v>
      </c>
      <c r="D171" s="6" t="str">
        <f>Leads!I171</f>
        <v>Oakland, CA</v>
      </c>
      <c r="E171" s="6" t="str">
        <f>Leads!E171</f>
        <v>+1 510-251-2773</v>
      </c>
      <c r="F171" s="6" t="str">
        <f>Leads!D171</f>
        <v>Not identified - confirm on call</v>
      </c>
      <c r="G171" s="6" t="s">
        <v>2</v>
      </c>
      <c r="H171" s="6">
        <v>0.0</v>
      </c>
      <c r="I171" s="6"/>
      <c r="J171" s="6"/>
      <c r="K171" s="6"/>
      <c r="L171" s="6"/>
    </row>
    <row r="172" ht="15.0" customHeight="1">
      <c r="A172" s="6" t="str">
        <f>Leads!A172</f>
        <v>171</v>
      </c>
      <c r="B172" s="6" t="str">
        <f>Leads!C172</f>
        <v>Modern Express | Courier &amp; Logistics</v>
      </c>
      <c r="C172" s="6" t="str">
        <f>Leads!B172</f>
        <v>Logistics</v>
      </c>
      <c r="D172" s="6" t="str">
        <f>Leads!I172</f>
        <v>Oakland, CA</v>
      </c>
      <c r="E172" s="6" t="str">
        <f>Leads!E172</f>
        <v>+1 800-400-7874</v>
      </c>
      <c r="F172" s="6" t="str">
        <f>Leads!D172</f>
        <v>Angel (staff - confirm owner)</v>
      </c>
      <c r="G172" s="6" t="s">
        <v>2</v>
      </c>
      <c r="H172" s="6">
        <v>0.0</v>
      </c>
      <c r="I172" s="6"/>
      <c r="J172" s="6"/>
      <c r="K172" s="6"/>
      <c r="L172" s="6"/>
    </row>
    <row r="173" ht="23.25" customHeight="1">
      <c r="A173" s="6" t="str">
        <f>Leads!A173</f>
        <v>172</v>
      </c>
      <c r="B173" s="6" t="str">
        <f>Leads!C173</f>
        <v>Premier LTL Transportation Inc</v>
      </c>
      <c r="C173" s="6" t="str">
        <f>Leads!B173</f>
        <v>Logistics</v>
      </c>
      <c r="D173" s="6" t="str">
        <f>Leads!I173</f>
        <v>Anaheim, CA</v>
      </c>
      <c r="E173" s="6" t="str">
        <f>Leads!E173</f>
        <v>+1 714-660-9090</v>
      </c>
      <c r="F173" s="6" t="str">
        <f>Leads!D173</f>
        <v>Maria Lopez (staff - confirm owner)</v>
      </c>
      <c r="G173" s="6" t="s">
        <v>2</v>
      </c>
      <c r="H173" s="6">
        <v>0.0</v>
      </c>
      <c r="I173" s="6"/>
      <c r="J173" s="6"/>
      <c r="K173" s="6"/>
      <c r="L173" s="6"/>
    </row>
    <row r="174" ht="15.0" customHeight="1">
      <c r="A174" s="6" t="str">
        <f>Leads!A174</f>
        <v>173</v>
      </c>
      <c r="B174" s="6" t="str">
        <f>Leads!C174</f>
        <v>California Earth Transport Inc.</v>
      </c>
      <c r="C174" s="6" t="str">
        <f>Leads!B174</f>
        <v>Logistics</v>
      </c>
      <c r="D174" s="6" t="str">
        <f>Leads!I174</f>
        <v>Fullerton, CA</v>
      </c>
      <c r="E174" s="6" t="str">
        <f>Leads!E174</f>
        <v>+1 714-447-3478</v>
      </c>
      <c r="F174" s="6" t="str">
        <f>Leads!D174</f>
        <v>Alex (staff - confirm owner)</v>
      </c>
      <c r="G174" s="6" t="s">
        <v>2</v>
      </c>
      <c r="H174" s="6">
        <v>0.0</v>
      </c>
      <c r="I174" s="6"/>
      <c r="J174" s="6"/>
      <c r="K174" s="6"/>
      <c r="L174" s="6"/>
    </row>
    <row r="175" ht="15.0" customHeight="1">
      <c r="A175" s="6" t="str">
        <f>Leads!A175</f>
        <v>174</v>
      </c>
      <c r="B175" s="6" t="str">
        <f>Leads!C175</f>
        <v>AMS Carriers</v>
      </c>
      <c r="C175" s="6" t="str">
        <f>Leads!B175</f>
        <v>Logistics</v>
      </c>
      <c r="D175" s="6" t="str">
        <f>Leads!I175</f>
        <v>Santa Ana, CA</v>
      </c>
      <c r="E175" s="6" t="str">
        <f>Leads!E175</f>
        <v>+1 714-592-1053</v>
      </c>
      <c r="F175" s="6" t="str">
        <f>Leads!D175</f>
        <v>Christian (owner)</v>
      </c>
      <c r="G175" s="6" t="s">
        <v>2</v>
      </c>
      <c r="H175" s="6">
        <v>0.0</v>
      </c>
      <c r="I175" s="6"/>
      <c r="J175" s="6"/>
      <c r="K175" s="6"/>
      <c r="L175" s="6"/>
    </row>
    <row r="176" ht="23.25" customHeight="1">
      <c r="A176" s="6" t="str">
        <f>Leads!A176</f>
        <v>175</v>
      </c>
      <c r="B176" s="6" t="str">
        <f>Leads!C176</f>
        <v>JP XPRESS SERVICES, INC.</v>
      </c>
      <c r="C176" s="6" t="str">
        <f>Leads!B176</f>
        <v>Logistics</v>
      </c>
      <c r="D176" s="6" t="str">
        <f>Leads!I176</f>
        <v>Riverside, CA</v>
      </c>
      <c r="E176" s="6" t="str">
        <f>Leads!E176</f>
        <v>+1 951-488-2327</v>
      </c>
      <c r="F176" s="6" t="str">
        <f>Leads!D176</f>
        <v>Guadalupe (staff - confirm owner)</v>
      </c>
      <c r="G176" s="6" t="s">
        <v>2</v>
      </c>
      <c r="H176" s="6">
        <v>0.0</v>
      </c>
      <c r="I176" s="6"/>
      <c r="J176" s="6"/>
      <c r="K176" s="6"/>
      <c r="L176" s="6"/>
    </row>
    <row r="177" ht="23.25" customHeight="1">
      <c r="A177" s="6" t="str">
        <f>Leads!A177</f>
        <v>176</v>
      </c>
      <c r="B177" s="6" t="str">
        <f>Leads!C177</f>
        <v>Platinum Enterprises</v>
      </c>
      <c r="C177" s="6" t="str">
        <f>Leads!B177</f>
        <v>Logistics</v>
      </c>
      <c r="D177" s="6" t="str">
        <f>Leads!I177</f>
        <v>Riverside, CA</v>
      </c>
      <c r="E177" s="6" t="str">
        <f>Leads!E177</f>
        <v>+1 951-684-3444</v>
      </c>
      <c r="F177" s="6" t="str">
        <f>Leads!D177</f>
        <v>Victor / Michelle (staff - confirm owner)</v>
      </c>
      <c r="G177" s="6" t="s">
        <v>2</v>
      </c>
      <c r="H177" s="6">
        <v>0.0</v>
      </c>
      <c r="I177" s="6"/>
      <c r="J177" s="6"/>
      <c r="K177" s="6"/>
      <c r="L177" s="6"/>
    </row>
    <row r="178" ht="15.0" customHeight="1">
      <c r="A178" s="6" t="str">
        <f>Leads!A178</f>
        <v>177</v>
      </c>
      <c r="B178" s="6" t="str">
        <f>Leads!C178</f>
        <v>Casas Trucking</v>
      </c>
      <c r="C178" s="6" t="str">
        <f>Leads!B178</f>
        <v>Logistics</v>
      </c>
      <c r="D178" s="6" t="str">
        <f>Leads!I178</f>
        <v>Riverside, CA</v>
      </c>
      <c r="E178" s="6" t="str">
        <f>Leads!E178</f>
        <v>+1 951-977-8822</v>
      </c>
      <c r="F178" s="6" t="str">
        <f>Leads!D178</f>
        <v>Not identified - confirm on call</v>
      </c>
      <c r="G178" s="6" t="s">
        <v>2</v>
      </c>
      <c r="H178" s="6">
        <v>0.0</v>
      </c>
      <c r="I178" s="6"/>
      <c r="J178" s="6"/>
      <c r="K178" s="6"/>
      <c r="L178" s="6"/>
    </row>
    <row r="179" ht="15.0" customHeight="1">
      <c r="A179" s="6" t="str">
        <f>Leads!A179</f>
        <v>178</v>
      </c>
      <c r="B179" s="6" t="str">
        <f>Leads!C179</f>
        <v>DK EXPRESS CARGO INC</v>
      </c>
      <c r="C179" s="6" t="str">
        <f>Leads!B179</f>
        <v>Logistics</v>
      </c>
      <c r="D179" s="6" t="str">
        <f>Leads!I179</f>
        <v>Stockton, CA</v>
      </c>
      <c r="E179" s="6" t="str">
        <f>Leads!E179</f>
        <v>+1 209-954-9354</v>
      </c>
      <c r="F179" s="6" t="str">
        <f>Leads!D179</f>
        <v>Not identified - confirm on call</v>
      </c>
      <c r="G179" s="6" t="s">
        <v>2</v>
      </c>
      <c r="H179" s="6">
        <v>0.0</v>
      </c>
      <c r="I179" s="6"/>
      <c r="J179" s="6"/>
      <c r="K179" s="6"/>
      <c r="L179" s="6"/>
    </row>
    <row r="180" ht="15.0" customHeight="1">
      <c r="A180" s="6" t="str">
        <f>Leads!A180</f>
        <v>179</v>
      </c>
      <c r="B180" s="6" t="str">
        <f>Leads!C180</f>
        <v>Silva Trucking Inc.</v>
      </c>
      <c r="C180" s="6" t="str">
        <f>Leads!B180</f>
        <v>Logistics</v>
      </c>
      <c r="D180" s="6" t="str">
        <f>Leads!I180</f>
        <v>French Camp, CA</v>
      </c>
      <c r="E180" s="6" t="str">
        <f>Leads!E180</f>
        <v>+1 209-982-1114</v>
      </c>
      <c r="F180" s="6" t="str">
        <f>Leads!D180</f>
        <v>Not identified - confirm on call</v>
      </c>
      <c r="G180" s="6" t="s">
        <v>2</v>
      </c>
      <c r="H180" s="6">
        <v>0.0</v>
      </c>
      <c r="I180" s="6"/>
      <c r="J180" s="6"/>
      <c r="K180" s="6"/>
      <c r="L180" s="6"/>
    </row>
    <row r="181" ht="15.0" customHeight="1">
      <c r="A181" s="6" t="str">
        <f>Leads!A181</f>
        <v>180</v>
      </c>
      <c r="B181" s="6" t="str">
        <f>Leads!C181</f>
        <v>System Transport</v>
      </c>
      <c r="C181" s="6" t="str">
        <f>Leads!B181</f>
        <v>Logistics</v>
      </c>
      <c r="D181" s="6" t="str">
        <f>Leads!I181</f>
        <v>French Camp, CA</v>
      </c>
      <c r="E181" s="6" t="str">
        <f>Leads!E181</f>
        <v>+1 209-983-3814</v>
      </c>
      <c r="F181" s="6" t="str">
        <f>Leads!D181</f>
        <v>Not identified - confirm on call</v>
      </c>
      <c r="G181" s="6" t="s">
        <v>2</v>
      </c>
      <c r="H181" s="6">
        <v>0.0</v>
      </c>
      <c r="I181" s="6"/>
      <c r="J181" s="6"/>
      <c r="K181" s="6"/>
      <c r="L181" s="6"/>
    </row>
    <row r="182" ht="15.0" customHeight="1">
      <c r="A182" s="6" t="str">
        <f>Leads!A182</f>
        <v>181</v>
      </c>
      <c r="B182" s="6" t="str">
        <f>Leads!C182</f>
        <v>Executive Realty</v>
      </c>
      <c r="C182" s="6" t="str">
        <f>Leads!B182</f>
        <v>Real Estate</v>
      </c>
      <c r="D182" s="6" t="str">
        <f>Leads!I182</f>
        <v>Amarillo, TX</v>
      </c>
      <c r="E182" s="6" t="str">
        <f>Leads!E182</f>
        <v>+1 806-679-4206</v>
      </c>
      <c r="F182" s="6" t="str">
        <f>Leads!D182</f>
        <v>Not identified - confirm on call</v>
      </c>
      <c r="G182" s="6" t="s">
        <v>2</v>
      </c>
      <c r="H182" s="6">
        <v>0.0</v>
      </c>
      <c r="I182" s="6"/>
      <c r="J182" s="6"/>
      <c r="K182" s="6"/>
      <c r="L182" s="6"/>
    </row>
    <row r="183" ht="23.25" customHeight="1">
      <c r="A183" s="6" t="str">
        <f>Leads!A183</f>
        <v>182</v>
      </c>
      <c r="B183" s="6" t="str">
        <f>Leads!C183</f>
        <v>Realty Refined Lubbock - The Scott Toman Team</v>
      </c>
      <c r="C183" s="6" t="str">
        <f>Leads!B183</f>
        <v>Real Estate</v>
      </c>
      <c r="D183" s="6" t="str">
        <f>Leads!I183</f>
        <v>Lubbock, TX</v>
      </c>
      <c r="E183" s="6" t="str">
        <f>Leads!E183</f>
        <v>+1 806-787-6571</v>
      </c>
      <c r="F183" s="6" t="str">
        <f>Leads!D183</f>
        <v>Scott Toman (owner/agent)</v>
      </c>
      <c r="G183" s="6" t="s">
        <v>2</v>
      </c>
      <c r="H183" s="6">
        <v>0.0</v>
      </c>
      <c r="I183" s="6"/>
      <c r="J183" s="6"/>
      <c r="K183" s="6"/>
      <c r="L183" s="6"/>
    </row>
    <row r="184" ht="23.25" customHeight="1">
      <c r="A184" s="6" t="str">
        <f>Leads!A184</f>
        <v>183</v>
      </c>
      <c r="B184" s="6" t="str">
        <f>Leads!C184</f>
        <v>REGENCY REAL ESTATE</v>
      </c>
      <c r="C184" s="6" t="str">
        <f>Leads!B184</f>
        <v>Real Estate</v>
      </c>
      <c r="D184" s="6" t="str">
        <f>Leads!I184</f>
        <v>Beaumont, TX</v>
      </c>
      <c r="E184" s="6" t="str">
        <f>Leads!E184</f>
        <v>+1 409-724-6683</v>
      </c>
      <c r="F184" s="6" t="str">
        <f>Leads!D184</f>
        <v>Christine Norris (agent - confirm owner)</v>
      </c>
      <c r="G184" s="6" t="s">
        <v>2</v>
      </c>
      <c r="H184" s="6">
        <v>0.0</v>
      </c>
      <c r="I184" s="6"/>
      <c r="J184" s="6"/>
      <c r="K184" s="6"/>
      <c r="L184" s="6"/>
    </row>
    <row r="185" ht="23.25" customHeight="1">
      <c r="A185" s="6" t="str">
        <f>Leads!A185</f>
        <v>184</v>
      </c>
      <c r="B185" s="6" t="str">
        <f>Leads!C185</f>
        <v>Kerri Reynolds RE/MAX Real Estate Agency</v>
      </c>
      <c r="C185" s="6" t="str">
        <f>Leads!B185</f>
        <v>Real Estate</v>
      </c>
      <c r="D185" s="6" t="str">
        <f>Leads!I185</f>
        <v>Beaumont, TX</v>
      </c>
      <c r="E185" s="6" t="str">
        <f>Leads!E185</f>
        <v>+1 409-383-3787</v>
      </c>
      <c r="F185" s="6" t="str">
        <f>Leads!D185</f>
        <v>Kerri Reynolds (agent/owner)</v>
      </c>
      <c r="G185" s="6" t="s">
        <v>2</v>
      </c>
      <c r="H185" s="6">
        <v>0.0</v>
      </c>
      <c r="I185" s="6"/>
      <c r="J185" s="6"/>
      <c r="K185" s="6"/>
      <c r="L185" s="6"/>
    </row>
    <row r="186" ht="15.0" customHeight="1">
      <c r="A186" s="6" t="str">
        <f>Leads!A186</f>
        <v>185</v>
      </c>
      <c r="B186" s="6" t="str">
        <f>Leads!C186</f>
        <v>Hacienda Texas Realty</v>
      </c>
      <c r="C186" s="6" t="str">
        <f>Leads!B186</f>
        <v>Real Estate</v>
      </c>
      <c r="D186" s="6" t="str">
        <f>Leads!I186</f>
        <v>Killeen, TX</v>
      </c>
      <c r="E186" s="6" t="str">
        <f>Leads!E186</f>
        <v>+1 254-466-0892</v>
      </c>
      <c r="F186" s="6" t="str">
        <f>Leads!D186</f>
        <v>Andres Lopez (owner)</v>
      </c>
      <c r="G186" s="6" t="s">
        <v>2</v>
      </c>
      <c r="H186" s="6">
        <v>0.0</v>
      </c>
      <c r="I186" s="6"/>
      <c r="J186" s="6"/>
      <c r="K186" s="6"/>
      <c r="L186" s="6"/>
    </row>
    <row r="187" ht="23.25" customHeight="1">
      <c r="A187" s="6" t="str">
        <f>Leads!A187</f>
        <v>186</v>
      </c>
      <c r="B187" s="6" t="str">
        <f>Leads!C187</f>
        <v>Prolific Realty LLC</v>
      </c>
      <c r="C187" s="6" t="str">
        <f>Leads!B187</f>
        <v>Real Estate</v>
      </c>
      <c r="D187" s="6" t="str">
        <f>Leads!I187</f>
        <v>Killeen, TX</v>
      </c>
      <c r="E187" s="6" t="str">
        <f>Leads!E187</f>
        <v>+1 254-702-5332</v>
      </c>
      <c r="F187" s="6" t="str">
        <f>Leads!D187</f>
        <v>Alexis White / Felicia Williams (agents - confirm owner)</v>
      </c>
      <c r="G187" s="6" t="s">
        <v>2</v>
      </c>
      <c r="H187" s="6">
        <v>0.0</v>
      </c>
      <c r="I187" s="6"/>
      <c r="J187" s="6"/>
      <c r="K187" s="6"/>
      <c r="L187" s="6"/>
    </row>
    <row r="188" ht="23.25" customHeight="1">
      <c r="A188" s="6" t="str">
        <f>Leads!A188</f>
        <v>187</v>
      </c>
      <c r="B188" s="6" t="str">
        <f>Leads!C188</f>
        <v>All Star Property Group - Keller Williams Realty</v>
      </c>
      <c r="C188" s="6" t="str">
        <f>Leads!B188</f>
        <v>Real Estate</v>
      </c>
      <c r="D188" s="6" t="str">
        <f>Leads!I188</f>
        <v>Rome, GA</v>
      </c>
      <c r="E188" s="6" t="str">
        <f>Leads!E188</f>
        <v>+1 706-676-2425</v>
      </c>
      <c r="F188" s="6" t="str">
        <f>Leads!D188</f>
        <v>Trinie Davis (agent - confirm owner)</v>
      </c>
      <c r="G188" s="6" t="s">
        <v>2</v>
      </c>
      <c r="H188" s="6">
        <v>0.0</v>
      </c>
      <c r="I188" s="6"/>
      <c r="J188" s="6"/>
      <c r="K188" s="6"/>
      <c r="L188" s="6"/>
    </row>
    <row r="189" ht="15.0" customHeight="1">
      <c r="A189" s="6" t="str">
        <f>Leads!A189</f>
        <v>188</v>
      </c>
      <c r="B189" s="6" t="str">
        <f>Leads!C189</f>
        <v>Prestige Home Brokers</v>
      </c>
      <c r="C189" s="6" t="str">
        <f>Leads!B189</f>
        <v>Real Estate</v>
      </c>
      <c r="D189" s="6" t="str">
        <f>Leads!I189</f>
        <v>Rome, GA</v>
      </c>
      <c r="E189" s="6" t="str">
        <f>Leads!E189</f>
        <v>+1 678-747-9930</v>
      </c>
      <c r="F189" s="6" t="str">
        <f>Leads!D189</f>
        <v>Christie (agent/owner - confirm)</v>
      </c>
      <c r="G189" s="6" t="s">
        <v>2</v>
      </c>
      <c r="H189" s="6">
        <v>0.0</v>
      </c>
      <c r="I189" s="6"/>
      <c r="J189" s="6"/>
      <c r="K189" s="6"/>
      <c r="L189" s="6"/>
    </row>
    <row r="190" ht="15.0" customHeight="1">
      <c r="A190" s="6" t="str">
        <f>Leads!A190</f>
        <v>189</v>
      </c>
      <c r="B190" s="6" t="str">
        <f>Leads!C190</f>
        <v>The Real Estate Concierge</v>
      </c>
      <c r="C190" s="6" t="str">
        <f>Leads!B190</f>
        <v>Real Estate</v>
      </c>
      <c r="D190" s="6" t="str">
        <f>Leads!I190</f>
        <v>Albany, GA</v>
      </c>
      <c r="E190" s="6" t="str">
        <f>Leads!E190</f>
        <v>+1 229-232-8250</v>
      </c>
      <c r="F190" s="6" t="str">
        <f>Leads!D190</f>
        <v>Not identified - confirm on call</v>
      </c>
      <c r="G190" s="6" t="s">
        <v>2</v>
      </c>
      <c r="H190" s="6">
        <v>0.0</v>
      </c>
      <c r="I190" s="6"/>
      <c r="J190" s="6"/>
      <c r="K190" s="6"/>
      <c r="L190" s="6"/>
    </row>
    <row r="191" ht="23.25" customHeight="1">
      <c r="A191" s="6" t="str">
        <f>Leads!A191</f>
        <v>190</v>
      </c>
      <c r="B191" s="6" t="str">
        <f>Leads!C191</f>
        <v>ERA ALL IN ONE REALTY</v>
      </c>
      <c r="C191" s="6" t="str">
        <f>Leads!B191</f>
        <v>Real Estate</v>
      </c>
      <c r="D191" s="6" t="str">
        <f>Leads!I191</f>
        <v>Albany, GA</v>
      </c>
      <c r="E191" s="6" t="str">
        <f>Leads!E191</f>
        <v>+1 229-888-6670</v>
      </c>
      <c r="F191" s="6" t="str">
        <f>Leads!D191</f>
        <v>Amanda Wiley (agent - confirm owner)</v>
      </c>
      <c r="G191" s="6" t="s">
        <v>2</v>
      </c>
      <c r="H191" s="6">
        <v>0.0</v>
      </c>
      <c r="I191" s="6"/>
      <c r="J191" s="6"/>
      <c r="K191" s="6"/>
      <c r="L191" s="6"/>
    </row>
    <row r="192" ht="23.25" customHeight="1">
      <c r="A192" s="6" t="str">
        <f>Leads!A192</f>
        <v>191</v>
      </c>
      <c r="B192" s="6" t="str">
        <f>Leads!C192</f>
        <v>Parker Real Estate Group: Cindy Kissinger</v>
      </c>
      <c r="C192" s="6" t="str">
        <f>Leads!B192</f>
        <v>Real Estate</v>
      </c>
      <c r="D192" s="6" t="str">
        <f>Leads!I192</f>
        <v>Leesburg, GA</v>
      </c>
      <c r="E192" s="6" t="str">
        <f>Leads!E192</f>
        <v>+1 229-886-0234</v>
      </c>
      <c r="F192" s="6" t="str">
        <f>Leads!D192</f>
        <v>Cindy Kissinger (agent/owner)</v>
      </c>
      <c r="G192" s="6" t="s">
        <v>2</v>
      </c>
      <c r="H192" s="6">
        <v>0.0</v>
      </c>
      <c r="I192" s="6"/>
      <c r="J192" s="6"/>
      <c r="K192" s="6"/>
      <c r="L192" s="6"/>
    </row>
    <row r="193" ht="15.0" customHeight="1">
      <c r="A193" s="6" t="str">
        <f>Leads!A193</f>
        <v>192</v>
      </c>
      <c r="B193" s="6" t="str">
        <f>Leads!C193</f>
        <v>Dani Burns</v>
      </c>
      <c r="C193" s="6" t="str">
        <f>Leads!B193</f>
        <v>Real Estate</v>
      </c>
      <c r="D193" s="6" t="str">
        <f>Leads!I193</f>
        <v>Gainesville, GA</v>
      </c>
      <c r="E193" s="6" t="str">
        <f>Leads!E193</f>
        <v>+1 706-455-3076</v>
      </c>
      <c r="F193" s="6" t="str">
        <f>Leads!D193</f>
        <v>Dani Burns (owner/agent)</v>
      </c>
      <c r="G193" s="6" t="s">
        <v>2</v>
      </c>
      <c r="H193" s="6">
        <v>0.0</v>
      </c>
      <c r="I193" s="6"/>
      <c r="J193" s="6"/>
      <c r="K193" s="6"/>
      <c r="L193" s="6"/>
    </row>
    <row r="194" ht="23.25" customHeight="1">
      <c r="A194" s="6" t="str">
        <f>Leads!A194</f>
        <v>193</v>
      </c>
      <c r="B194" s="6" t="str">
        <f>Leads!C194</f>
        <v>Jessica Wade, Real Estate Agent with eXp</v>
      </c>
      <c r="C194" s="6" t="str">
        <f>Leads!B194</f>
        <v>Real Estate</v>
      </c>
      <c r="D194" s="6" t="str">
        <f>Leads!I194</f>
        <v>Gainesville, GA</v>
      </c>
      <c r="E194" s="6" t="str">
        <f>Leads!E194</f>
        <v>+1 770-540-3641</v>
      </c>
      <c r="F194" s="6" t="str">
        <f>Leads!D194</f>
        <v>Jessica Wade (agent)</v>
      </c>
      <c r="G194" s="6" t="s">
        <v>2</v>
      </c>
      <c r="H194" s="6">
        <v>0.0</v>
      </c>
      <c r="I194" s="6"/>
      <c r="J194" s="6"/>
      <c r="K194" s="6"/>
      <c r="L194" s="6"/>
    </row>
    <row r="195" ht="15.0" customHeight="1">
      <c r="A195" s="6" t="str">
        <f>Leads!A195</f>
        <v>194</v>
      </c>
      <c r="B195" s="6" t="str">
        <f>Leads!C195</f>
        <v>CCR Realtors - Lima</v>
      </c>
      <c r="C195" s="6" t="str">
        <f>Leads!B195</f>
        <v>Real Estate</v>
      </c>
      <c r="D195" s="6" t="str">
        <f>Leads!I195</f>
        <v>Lima, OH</v>
      </c>
      <c r="E195" s="6" t="str">
        <f>Leads!E195</f>
        <v>+1 419-222-0555</v>
      </c>
      <c r="F195" s="6" t="str">
        <f>Leads!D195</f>
        <v>Not identified - confirm on call</v>
      </c>
      <c r="G195" s="6" t="s">
        <v>2</v>
      </c>
      <c r="H195" s="6">
        <v>0.0</v>
      </c>
      <c r="I195" s="6"/>
      <c r="J195" s="6"/>
      <c r="K195" s="6"/>
      <c r="L195" s="6"/>
    </row>
    <row r="196" ht="23.25" customHeight="1">
      <c r="A196" s="6" t="str">
        <f>Leads!A196</f>
        <v>195</v>
      </c>
      <c r="B196" s="6" t="str">
        <f>Leads!C196</f>
        <v>Cowan Realtors - Lima, Ohio Real Estate Office</v>
      </c>
      <c r="C196" s="6" t="str">
        <f>Leads!B196</f>
        <v>Real Estate</v>
      </c>
      <c r="D196" s="6" t="str">
        <f>Leads!I196</f>
        <v>Lima, OH</v>
      </c>
      <c r="E196" s="6" t="str">
        <f>Leads!E196</f>
        <v>+1 419-222-1212</v>
      </c>
      <c r="F196" s="6" t="str">
        <f>Leads!D196</f>
        <v>Not identified - confirm on call</v>
      </c>
      <c r="G196" s="6" t="s">
        <v>2</v>
      </c>
      <c r="H196" s="6">
        <v>0.0</v>
      </c>
      <c r="I196" s="6"/>
      <c r="J196" s="6"/>
      <c r="K196" s="6"/>
      <c r="L196" s="6"/>
    </row>
    <row r="197" ht="15.0" customHeight="1">
      <c r="A197" s="6" t="str">
        <f>Leads!A197</f>
        <v>196</v>
      </c>
      <c r="B197" s="6" t="str">
        <f>Leads!C197</f>
        <v>Always Sunny Realty</v>
      </c>
      <c r="C197" s="6" t="str">
        <f>Leads!B197</f>
        <v>Real Estate</v>
      </c>
      <c r="D197" s="6" t="str">
        <f>Leads!I197</f>
        <v>Springfield, OH</v>
      </c>
      <c r="E197" s="6" t="str">
        <f>Leads!E197</f>
        <v>+1 937-505-9233</v>
      </c>
      <c r="F197" s="6" t="str">
        <f>Leads!D197</f>
        <v>Sunny (owner/broker)</v>
      </c>
      <c r="G197" s="6" t="s">
        <v>2</v>
      </c>
      <c r="H197" s="6">
        <v>0.0</v>
      </c>
      <c r="I197" s="6"/>
      <c r="J197" s="6"/>
      <c r="K197" s="6"/>
      <c r="L197" s="6"/>
    </row>
    <row r="198" ht="23.25" customHeight="1">
      <c r="A198" s="6" t="str">
        <f>Leads!A198</f>
        <v>197</v>
      </c>
      <c r="B198" s="6" t="str">
        <f>Leads!C198</f>
        <v>Alison North, The Avenue Group, Glasshouse Realty</v>
      </c>
      <c r="C198" s="6" t="str">
        <f>Leads!B198</f>
        <v>Real Estate</v>
      </c>
      <c r="D198" s="6" t="str">
        <f>Leads!I198</f>
        <v>Springfield, OH</v>
      </c>
      <c r="E198" s="6" t="str">
        <f>Leads!E198</f>
        <v>+1 937-206-2273</v>
      </c>
      <c r="F198" s="6" t="str">
        <f>Leads!D198</f>
        <v>Alison North (agent)</v>
      </c>
      <c r="G198" s="6" t="s">
        <v>2</v>
      </c>
      <c r="H198" s="6">
        <v>0.0</v>
      </c>
      <c r="I198" s="6"/>
      <c r="J198" s="6"/>
      <c r="K198" s="6"/>
      <c r="L198" s="6"/>
    </row>
    <row r="199" ht="15.0" customHeight="1">
      <c r="A199" s="6" t="str">
        <f>Leads!A199</f>
        <v>198</v>
      </c>
      <c r="B199" s="6" t="str">
        <f>Leads!C199</f>
        <v>Jax Transport LLC</v>
      </c>
      <c r="C199" s="6" t="str">
        <f>Leads!B199</f>
        <v>Logistics</v>
      </c>
      <c r="D199" s="6" t="str">
        <f>Leads!I199</f>
        <v>Amarillo, TX</v>
      </c>
      <c r="E199" s="6" t="str">
        <f>Leads!E199</f>
        <v>+1 806-355-1463</v>
      </c>
      <c r="F199" s="6" t="str">
        <f>Leads!D199</f>
        <v>Shane (owner)</v>
      </c>
      <c r="G199" s="6" t="s">
        <v>2</v>
      </c>
      <c r="H199" s="6">
        <v>0.0</v>
      </c>
      <c r="I199" s="6"/>
      <c r="J199" s="6"/>
      <c r="K199" s="6"/>
      <c r="L199" s="6"/>
    </row>
    <row r="200" ht="15.0" customHeight="1">
      <c r="A200" s="6" t="str">
        <f>Leads!A200</f>
        <v>199</v>
      </c>
      <c r="B200" s="6" t="str">
        <f>Leads!C200</f>
        <v>Booker Transportation Services, Inc.</v>
      </c>
      <c r="C200" s="6" t="str">
        <f>Leads!B200</f>
        <v>Logistics</v>
      </c>
      <c r="D200" s="6" t="str">
        <f>Leads!I200</f>
        <v>Amarillo, TX</v>
      </c>
      <c r="E200" s="6" t="str">
        <f>Leads!E200</f>
        <v>+1 866-843-6663</v>
      </c>
      <c r="F200" s="6" t="str">
        <f>Leads!D200</f>
        <v>Not identified - confirm on call</v>
      </c>
      <c r="G200" s="6" t="s">
        <v>2</v>
      </c>
      <c r="H200" s="6">
        <v>0.0</v>
      </c>
      <c r="I200" s="6"/>
      <c r="J200" s="6"/>
      <c r="K200" s="6"/>
      <c r="L200" s="6"/>
    </row>
    <row r="201" ht="15.0" customHeight="1">
      <c r="A201" s="6" t="str">
        <f>Leads!A201</f>
        <v>200</v>
      </c>
      <c r="B201" s="6" t="str">
        <f>Leads!C201</f>
        <v>Allegiance Trucking, LLC</v>
      </c>
      <c r="C201" s="6" t="str">
        <f>Leads!B201</f>
        <v>Logistics</v>
      </c>
      <c r="D201" s="6" t="str">
        <f>Leads!I201</f>
        <v>Amarillo, TX</v>
      </c>
      <c r="E201" s="6" t="str">
        <f>Leads!E201</f>
        <v>+1 806-584-4650</v>
      </c>
      <c r="F201" s="6" t="str">
        <f>Leads!D201</f>
        <v>Not identified - confirm on call</v>
      </c>
      <c r="G201" s="6" t="s">
        <v>2</v>
      </c>
      <c r="H201" s="6">
        <v>0.0</v>
      </c>
      <c r="I201" s="6"/>
      <c r="J201" s="6"/>
      <c r="K201" s="6"/>
      <c r="L201" s="6"/>
    </row>
    <row r="202" ht="23.25" customHeight="1">
      <c r="A202" s="6" t="str">
        <f>Leads!A202</f>
        <v>201</v>
      </c>
      <c r="B202" s="6" t="str">
        <f>Leads!C202</f>
        <v>Lykes Cartage Co Inc</v>
      </c>
      <c r="C202" s="6" t="str">
        <f>Leads!B202</f>
        <v>Logistics</v>
      </c>
      <c r="D202" s="6" t="str">
        <f>Leads!I202</f>
        <v>Lubbock, TX</v>
      </c>
      <c r="E202" s="6" t="str">
        <f>Leads!E202</f>
        <v>+1 512-933-9060</v>
      </c>
      <c r="F202" s="6" t="str">
        <f>Leads!D202</f>
        <v>Chris (manager - confirm owner)</v>
      </c>
      <c r="G202" s="6" t="s">
        <v>2</v>
      </c>
      <c r="H202" s="6">
        <v>0.0</v>
      </c>
      <c r="I202" s="6"/>
      <c r="J202" s="6"/>
      <c r="K202" s="6"/>
      <c r="L202" s="6"/>
    </row>
    <row r="203" ht="15.0" customHeight="1">
      <c r="A203" s="6" t="str">
        <f>Leads!A203</f>
        <v>202</v>
      </c>
      <c r="B203" s="6" t="str">
        <f>Leads!C203</f>
        <v>KDSI TRUCKING INC</v>
      </c>
      <c r="C203" s="6" t="str">
        <f>Leads!B203</f>
        <v>Logistics</v>
      </c>
      <c r="D203" s="6" t="str">
        <f>Leads!I203</f>
        <v>Beaumont, TX</v>
      </c>
      <c r="E203" s="6" t="str">
        <f>Leads!E203</f>
        <v>+1 409-835-0069</v>
      </c>
      <c r="F203" s="6" t="str">
        <f>Leads!D203</f>
        <v>Not identified - confirm on call</v>
      </c>
      <c r="G203" s="6" t="s">
        <v>2</v>
      </c>
      <c r="H203" s="6">
        <v>0.0</v>
      </c>
      <c r="I203" s="6"/>
      <c r="J203" s="6"/>
      <c r="K203" s="6"/>
      <c r="L203" s="6"/>
    </row>
    <row r="204" ht="15.0" customHeight="1">
      <c r="A204" s="6" t="str">
        <f>Leads!A204</f>
        <v>203</v>
      </c>
      <c r="B204" s="6" t="str">
        <f>Leads!C204</f>
        <v>Garddy Trucking &amp; Services LLC</v>
      </c>
      <c r="C204" s="6" t="str">
        <f>Leads!B204</f>
        <v>Logistics</v>
      </c>
      <c r="D204" s="6" t="str">
        <f>Leads!I204</f>
        <v>Beaumont, TX</v>
      </c>
      <c r="E204" s="6" t="str">
        <f>Leads!E204</f>
        <v>+1 409-543-7738</v>
      </c>
      <c r="F204" s="6" t="str">
        <f>Leads!D204</f>
        <v>Garddy (owner)</v>
      </c>
      <c r="G204" s="6" t="s">
        <v>2</v>
      </c>
      <c r="H204" s="6">
        <v>0.0</v>
      </c>
      <c r="I204" s="6"/>
      <c r="J204" s="6"/>
      <c r="K204" s="6"/>
      <c r="L204" s="6"/>
    </row>
    <row r="205" ht="23.25" customHeight="1">
      <c r="A205" s="6" t="str">
        <f>Leads!A205</f>
        <v>204</v>
      </c>
      <c r="B205" s="6" t="str">
        <f>Leads!C205</f>
        <v>JJ Spencer Transport II, LP</v>
      </c>
      <c r="C205" s="6" t="str">
        <f>Leads!B205</f>
        <v>Logistics</v>
      </c>
      <c r="D205" s="6" t="str">
        <f>Leads!I205</f>
        <v>Tyler, TX</v>
      </c>
      <c r="E205" s="6" t="str">
        <f>Leads!E205</f>
        <v>+1 903-592-2515</v>
      </c>
      <c r="F205" s="6" t="str">
        <f>Leads!D205</f>
        <v>Jay Williams (driver - confirm owner)</v>
      </c>
      <c r="G205" s="6" t="s">
        <v>2</v>
      </c>
      <c r="H205" s="6">
        <v>0.0</v>
      </c>
      <c r="I205" s="6"/>
      <c r="J205" s="6"/>
      <c r="K205" s="6"/>
      <c r="L205" s="6"/>
    </row>
    <row r="206" ht="15.0" customHeight="1">
      <c r="A206" s="6" t="str">
        <f>Leads!A206</f>
        <v>205</v>
      </c>
      <c r="B206" s="6" t="str">
        <f>Leads!C206</f>
        <v>PBC Moving And Trucking LLC</v>
      </c>
      <c r="C206" s="6" t="str">
        <f>Leads!B206</f>
        <v>Logistics</v>
      </c>
      <c r="D206" s="6" t="str">
        <f>Leads!I206</f>
        <v>Killeen, TX</v>
      </c>
      <c r="E206" s="6" t="str">
        <f>Leads!E206</f>
        <v>+1 254-393-4343</v>
      </c>
      <c r="F206" s="6" t="str">
        <f>Leads!D206</f>
        <v>Not identified - confirm on call</v>
      </c>
      <c r="G206" s="6" t="s">
        <v>2</v>
      </c>
      <c r="H206" s="6">
        <v>0.0</v>
      </c>
      <c r="I206" s="6"/>
      <c r="J206" s="6"/>
      <c r="K206" s="6"/>
      <c r="L206" s="6"/>
    </row>
    <row r="207" ht="15.0" customHeight="1">
      <c r="A207" s="6" t="str">
        <f>Leads!A207</f>
        <v>206</v>
      </c>
      <c r="B207" s="6" t="str">
        <f>Leads!C207</f>
        <v>Mc Guire Transportation</v>
      </c>
      <c r="C207" s="6" t="str">
        <f>Leads!B207</f>
        <v>Logistics</v>
      </c>
      <c r="D207" s="6" t="str">
        <f>Leads!I207</f>
        <v>Temple, TX</v>
      </c>
      <c r="E207" s="6" t="str">
        <f>Leads!E207</f>
        <v>+1 254-791-1003</v>
      </c>
      <c r="F207" s="6" t="str">
        <f>Leads!D207</f>
        <v>Not identified - confirm on call</v>
      </c>
      <c r="G207" s="6" t="s">
        <v>2</v>
      </c>
      <c r="H207" s="6">
        <v>0.0</v>
      </c>
      <c r="I207" s="6"/>
      <c r="J207" s="6"/>
      <c r="K207" s="6"/>
      <c r="L207" s="6"/>
    </row>
    <row r="208" ht="23.25" customHeight="1">
      <c r="A208" s="6" t="str">
        <f>Leads!A208</f>
        <v>207</v>
      </c>
      <c r="B208" s="6" t="str">
        <f>Leads!C208</f>
        <v>Josh Roberts Trucking</v>
      </c>
      <c r="C208" s="6" t="str">
        <f>Leads!B208</f>
        <v>Logistics</v>
      </c>
      <c r="D208" s="6" t="str">
        <f>Leads!I208</f>
        <v>Rome, GA</v>
      </c>
      <c r="E208" s="6" t="str">
        <f>Leads!E208</f>
        <v>+1 706-235-7795</v>
      </c>
      <c r="F208" s="6" t="str">
        <f>Leads!D208</f>
        <v>Not identified - family-owned per reviews, confirm</v>
      </c>
      <c r="G208" s="6" t="s">
        <v>2</v>
      </c>
      <c r="H208" s="6">
        <v>0.0</v>
      </c>
      <c r="I208" s="6"/>
      <c r="J208" s="6"/>
      <c r="K208" s="6"/>
      <c r="L208" s="6"/>
    </row>
    <row r="209" ht="15.0" customHeight="1">
      <c r="A209" s="6" t="str">
        <f>Leads!A209</f>
        <v>208</v>
      </c>
      <c r="B209" s="6" t="str">
        <f>Leads!C209</f>
        <v>JWH Transport</v>
      </c>
      <c r="C209" s="6" t="str">
        <f>Leads!B209</f>
        <v>Logistics</v>
      </c>
      <c r="D209" s="6" t="str">
        <f>Leads!I209</f>
        <v>Rome, GA</v>
      </c>
      <c r="E209" s="6" t="str">
        <f>Leads!E209</f>
        <v>+1 706-234-4434</v>
      </c>
      <c r="F209" s="6" t="str">
        <f>Leads!D209</f>
        <v>Not identified - confirm on call</v>
      </c>
      <c r="G209" s="6" t="s">
        <v>2</v>
      </c>
      <c r="H209" s="6">
        <v>0.0</v>
      </c>
      <c r="I209" s="6"/>
      <c r="J209" s="6"/>
      <c r="K209" s="6"/>
      <c r="L209" s="6"/>
    </row>
    <row r="210" ht="15.0" customHeight="1">
      <c r="A210" s="6" t="str">
        <f>Leads!A210</f>
        <v>209</v>
      </c>
      <c r="B210" s="6" t="str">
        <f>Leads!C210</f>
        <v>Total Logistics LLC</v>
      </c>
      <c r="C210" s="6" t="str">
        <f>Leads!B210</f>
        <v>Logistics</v>
      </c>
      <c r="D210" s="6" t="str">
        <f>Leads!I210</f>
        <v>Rome, GA</v>
      </c>
      <c r="E210" s="6" t="str">
        <f>Leads!E210</f>
        <v>+1 706-232-1777</v>
      </c>
      <c r="F210" s="6" t="str">
        <f>Leads!D210</f>
        <v>Not identified - confirm on call</v>
      </c>
      <c r="G210" s="6" t="s">
        <v>2</v>
      </c>
      <c r="H210" s="6">
        <v>0.0</v>
      </c>
      <c r="I210" s="6"/>
      <c r="J210" s="6"/>
      <c r="K210" s="6"/>
      <c r="L210" s="6"/>
    </row>
    <row r="211" ht="23.25" customHeight="1">
      <c r="A211" s="6" t="str">
        <f>Leads!A211</f>
        <v>210</v>
      </c>
      <c r="B211" s="6" t="str">
        <f>Leads!C211</f>
        <v>Complete Carriers, LLC</v>
      </c>
      <c r="C211" s="6" t="str">
        <f>Leads!B211</f>
        <v>Logistics</v>
      </c>
      <c r="D211" s="6" t="str">
        <f>Leads!I211</f>
        <v>Albany, GA</v>
      </c>
      <c r="E211" s="6" t="str">
        <f>Leads!E211</f>
        <v>+1 229-405-2422</v>
      </c>
      <c r="F211" s="6" t="str">
        <f>Leads!D211</f>
        <v>Brandon Rohrer (contact - confirm owner)</v>
      </c>
      <c r="G211" s="6" t="s">
        <v>2</v>
      </c>
      <c r="H211" s="6">
        <v>0.0</v>
      </c>
      <c r="I211" s="6"/>
      <c r="J211" s="6"/>
      <c r="K211" s="6"/>
      <c r="L211" s="6"/>
    </row>
    <row r="212" ht="23.25" customHeight="1">
      <c r="A212" s="6" t="str">
        <f>Leads!A212</f>
        <v>211</v>
      </c>
      <c r="B212" s="6" t="str">
        <f>Leads!C212</f>
        <v>Landmark Logistics, Inc</v>
      </c>
      <c r="C212" s="6" t="str">
        <f>Leads!B212</f>
        <v>Logistics</v>
      </c>
      <c r="D212" s="6" t="str">
        <f>Leads!I212</f>
        <v>Gainesville, GA</v>
      </c>
      <c r="E212" s="6" t="str">
        <f>Leads!E212</f>
        <v>+1 888-531-5414</v>
      </c>
      <c r="F212" s="6" t="str">
        <f>Leads!D212</f>
        <v>Greg Fullaney (rep - confirm owner)</v>
      </c>
      <c r="G212" s="6" t="s">
        <v>2</v>
      </c>
      <c r="H212" s="6">
        <v>0.0</v>
      </c>
      <c r="I212" s="6"/>
      <c r="J212" s="6"/>
      <c r="K212" s="6"/>
      <c r="L212" s="6"/>
    </row>
    <row r="213" ht="15.0" customHeight="1">
      <c r="A213" s="6" t="str">
        <f>Leads!A213</f>
        <v>212</v>
      </c>
      <c r="B213" s="6" t="str">
        <f>Leads!C213</f>
        <v>Troyer Trucking</v>
      </c>
      <c r="C213" s="6" t="str">
        <f>Leads!B213</f>
        <v>Logistics</v>
      </c>
      <c r="D213" s="6" t="str">
        <f>Leads!I213</f>
        <v>Lima, OH</v>
      </c>
      <c r="E213" s="6" t="str">
        <f>Leads!E213</f>
        <v>+1 419-879-1663</v>
      </c>
      <c r="F213" s="6" t="str">
        <f>Leads!D213</f>
        <v>Not identified - confirm on call</v>
      </c>
      <c r="G213" s="6" t="s">
        <v>2</v>
      </c>
      <c r="H213" s="6">
        <v>0.0</v>
      </c>
      <c r="I213" s="6"/>
      <c r="J213" s="6"/>
      <c r="K213" s="6"/>
      <c r="L213" s="6"/>
    </row>
    <row r="214" ht="15.0" customHeight="1">
      <c r="A214" s="6" t="str">
        <f>Leads!A214</f>
        <v>213</v>
      </c>
      <c r="B214" s="6" t="str">
        <f>Leads!C214</f>
        <v>Lane's Transportation LLC</v>
      </c>
      <c r="C214" s="6" t="str">
        <f>Leads!B214</f>
        <v>Logistics</v>
      </c>
      <c r="D214" s="6" t="str">
        <f>Leads!I214</f>
        <v>Lima, OH</v>
      </c>
      <c r="E214" s="6" t="str">
        <f>Leads!E214</f>
        <v>+1 567-940-9633</v>
      </c>
      <c r="F214" s="6" t="str">
        <f>Leads!D214</f>
        <v>Not identified - confirm on call</v>
      </c>
      <c r="G214" s="6" t="s">
        <v>2</v>
      </c>
      <c r="H214" s="6">
        <v>0.0</v>
      </c>
      <c r="I214" s="6"/>
      <c r="J214" s="6"/>
      <c r="K214" s="6"/>
      <c r="L214" s="6"/>
    </row>
    <row r="215" ht="15.0" customHeight="1">
      <c r="A215" s="6" t="str">
        <f>Leads!A215</f>
        <v>214</v>
      </c>
      <c r="B215" s="6" t="str">
        <f>Leads!C215</f>
        <v>Woodruff Enterprises</v>
      </c>
      <c r="C215" s="6" t="str">
        <f>Leads!B215</f>
        <v>Logistics</v>
      </c>
      <c r="D215" s="6" t="str">
        <f>Leads!I215</f>
        <v>Springfield, OH</v>
      </c>
      <c r="E215" s="6" t="str">
        <f>Leads!E215</f>
        <v>+1 937-399-9300</v>
      </c>
      <c r="F215" s="6" t="str">
        <f>Leads!D215</f>
        <v>Not identified - confirm on call</v>
      </c>
      <c r="G215" s="6" t="s">
        <v>2</v>
      </c>
      <c r="H215" s="6">
        <v>0.0</v>
      </c>
      <c r="I215" s="6"/>
      <c r="J215" s="6"/>
      <c r="K215" s="6"/>
      <c r="L215" s="6"/>
    </row>
    <row r="216" ht="15.0" customHeight="1">
      <c r="A216" s="6" t="str">
        <f>Leads!A216</f>
        <v>215</v>
      </c>
      <c r="B216" s="6" t="str">
        <f>Leads!C216</f>
        <v>All Good Real Estate, LLC.</v>
      </c>
      <c r="C216" s="6" t="str">
        <f>Leads!B216</f>
        <v>Real Estate</v>
      </c>
      <c r="D216" s="6" t="str">
        <f>Leads!I216</f>
        <v>Raleigh, NC</v>
      </c>
      <c r="E216" s="6" t="str">
        <f>Leads!E216</f>
        <v>+1 919-378-1112</v>
      </c>
      <c r="F216" s="6" t="str">
        <f>Leads!D216</f>
        <v>Phyllis (agent - confirm owner)</v>
      </c>
      <c r="G216" s="6" t="s">
        <v>2</v>
      </c>
      <c r="H216" s="6">
        <v>0.0</v>
      </c>
      <c r="I216" s="6"/>
      <c r="J216" s="6"/>
      <c r="K216" s="6"/>
      <c r="L216" s="6"/>
    </row>
    <row r="217" ht="15.0" customHeight="1">
      <c r="A217" s="6" t="str">
        <f>Leads!A217</f>
        <v>216</v>
      </c>
      <c r="B217" s="6" t="str">
        <f>Leads!C217</f>
        <v>Village Real Estate</v>
      </c>
      <c r="C217" s="6" t="str">
        <f>Leads!B217</f>
        <v>Real Estate</v>
      </c>
      <c r="D217" s="6" t="str">
        <f>Leads!I217</f>
        <v>Nashville, TN</v>
      </c>
      <c r="E217" s="6" t="str">
        <f>Leads!E217</f>
        <v>+1 615-383-6964</v>
      </c>
      <c r="F217" s="6" t="str">
        <f>Leads!D217</f>
        <v>Not identified - confirm on call</v>
      </c>
      <c r="G217" s="6" t="s">
        <v>2</v>
      </c>
      <c r="H217" s="6">
        <v>0.0</v>
      </c>
      <c r="I217" s="6"/>
      <c r="J217" s="6"/>
      <c r="K217" s="6"/>
      <c r="L217" s="6"/>
    </row>
    <row r="218" ht="23.25" customHeight="1">
      <c r="A218" s="6" t="str">
        <f>Leads!A218</f>
        <v>217</v>
      </c>
      <c r="B218" s="6" t="str">
        <f>Leads!C218</f>
        <v>The Miles Team with Compass Tennessee, LLC</v>
      </c>
      <c r="C218" s="6" t="str">
        <f>Leads!B218</f>
        <v>Real Estate</v>
      </c>
      <c r="D218" s="6" t="str">
        <f>Leads!I218</f>
        <v>Nashville, TN</v>
      </c>
      <c r="E218" s="6" t="str">
        <f>Leads!E218</f>
        <v>+1 615-375-3575</v>
      </c>
      <c r="F218" s="6" t="str">
        <f>Leads!D218</f>
        <v>Rebekah Bell Sampson (agent - confirm owner)</v>
      </c>
      <c r="G218" s="6" t="s">
        <v>2</v>
      </c>
      <c r="H218" s="6">
        <v>0.0</v>
      </c>
      <c r="I218" s="6"/>
      <c r="J218" s="6"/>
      <c r="K218" s="6"/>
      <c r="L218" s="6"/>
    </row>
    <row r="219" ht="15.0" customHeight="1">
      <c r="A219" s="6" t="str">
        <f>Leads!A219</f>
        <v>218</v>
      </c>
      <c r="B219" s="6" t="str">
        <f>Leads!C219</f>
        <v>Myers Cobb Realtors</v>
      </c>
      <c r="C219" s="6" t="str">
        <f>Leads!B219</f>
        <v>Real Estate</v>
      </c>
      <c r="D219" s="6" t="str">
        <f>Leads!I219</f>
        <v>Memphis, TN</v>
      </c>
      <c r="E219" s="6" t="str">
        <f>Leads!E219</f>
        <v>+1 901-552-4036</v>
      </c>
      <c r="F219" s="6" t="str">
        <f>Leads!D219</f>
        <v>Not identified - confirm on call</v>
      </c>
      <c r="G219" s="6" t="s">
        <v>2</v>
      </c>
      <c r="H219" s="6">
        <v>0.0</v>
      </c>
      <c r="I219" s="6"/>
      <c r="J219" s="6"/>
      <c r="K219" s="6"/>
      <c r="L219" s="6"/>
    </row>
    <row r="220" ht="15.0" customHeight="1">
      <c r="A220" s="6" t="str">
        <f>Leads!A220</f>
        <v>219</v>
      </c>
      <c r="B220" s="6" t="str">
        <f>Leads!C220</f>
        <v>Layson Group - Keller Williams Memphis</v>
      </c>
      <c r="C220" s="6" t="str">
        <f>Leads!B220</f>
        <v>Real Estate</v>
      </c>
      <c r="D220" s="6" t="str">
        <f>Leads!I220</f>
        <v>Memphis, TN</v>
      </c>
      <c r="E220" s="6" t="str">
        <f>Leads!E220</f>
        <v>+1 901-213-7866</v>
      </c>
      <c r="F220" s="6" t="str">
        <f>Leads!D220</f>
        <v>Not identified - confirm on call</v>
      </c>
      <c r="G220" s="6" t="s">
        <v>2</v>
      </c>
      <c r="H220" s="6">
        <v>0.0</v>
      </c>
      <c r="I220" s="6"/>
      <c r="J220" s="6"/>
      <c r="K220" s="6"/>
      <c r="L220" s="6"/>
    </row>
    <row r="221" ht="15.0" customHeight="1">
      <c r="A221" s="6" t="str">
        <f>Leads!A221</f>
        <v>220</v>
      </c>
      <c r="B221" s="6" t="str">
        <f>Leads!C221</f>
        <v>Living in Phoenix Arizona</v>
      </c>
      <c r="C221" s="6" t="str">
        <f>Leads!B221</f>
        <v>Real Estate</v>
      </c>
      <c r="D221" s="6" t="str">
        <f>Leads!I221</f>
        <v>Phoenix, AZ</v>
      </c>
      <c r="E221" s="6" t="str">
        <f>Leads!E221</f>
        <v>+1 602-734-7263</v>
      </c>
      <c r="F221" s="6" t="str">
        <f>Leads!D221</f>
        <v>Greg (agent/owner - confirm)</v>
      </c>
      <c r="G221" s="6" t="s">
        <v>2</v>
      </c>
      <c r="H221" s="6">
        <v>0.0</v>
      </c>
      <c r="I221" s="6"/>
      <c r="J221" s="6"/>
      <c r="K221" s="6"/>
      <c r="L221" s="6"/>
    </row>
    <row r="222" ht="23.25" customHeight="1">
      <c r="A222" s="6" t="str">
        <f>Leads!A222</f>
        <v>221</v>
      </c>
      <c r="B222" s="6" t="str">
        <f>Leads!C222</f>
        <v>Phoenix Real Estate Group</v>
      </c>
      <c r="C222" s="6" t="str">
        <f>Leads!B222</f>
        <v>Real Estate</v>
      </c>
      <c r="D222" s="6" t="str">
        <f>Leads!I222</f>
        <v>Phoenix, AZ</v>
      </c>
      <c r="E222" s="6" t="str">
        <f>Leads!E222</f>
        <v>+1 480-590-6051</v>
      </c>
      <c r="F222" s="6" t="str">
        <f>Leads!D222</f>
        <v>Earl / Bryan (agents - confirm owner)</v>
      </c>
      <c r="G222" s="6" t="s">
        <v>2</v>
      </c>
      <c r="H222" s="6">
        <v>0.0</v>
      </c>
      <c r="I222" s="6"/>
      <c r="J222" s="6"/>
      <c r="K222" s="6"/>
      <c r="L222" s="6"/>
    </row>
    <row r="223" ht="15.0" customHeight="1">
      <c r="A223" s="6" t="str">
        <f>Leads!A223</f>
        <v>222</v>
      </c>
      <c r="B223" s="6" t="str">
        <f>Leads!C223</f>
        <v>WOW Real Estate</v>
      </c>
      <c r="C223" s="6" t="str">
        <f>Leads!B223</f>
        <v>Real Estate</v>
      </c>
      <c r="D223" s="6" t="str">
        <f>Leads!I223</f>
        <v>Tucson, AZ</v>
      </c>
      <c r="E223" s="6" t="str">
        <f>Leads!E223</f>
        <v>+1 520-276-9060</v>
      </c>
      <c r="F223" s="6" t="str">
        <f>Leads!D223</f>
        <v>Not identified - confirm on call</v>
      </c>
      <c r="G223" s="6" t="s">
        <v>2</v>
      </c>
      <c r="H223" s="6">
        <v>0.0</v>
      </c>
      <c r="I223" s="6"/>
      <c r="J223" s="6"/>
      <c r="K223" s="6"/>
      <c r="L223" s="6"/>
    </row>
    <row r="224" ht="23.25" customHeight="1">
      <c r="A224" s="6" t="str">
        <f>Leads!A224</f>
        <v>223</v>
      </c>
      <c r="B224" s="6" t="str">
        <f>Leads!C224</f>
        <v>Lana Cole | Your Naperville Real Estate Expert</v>
      </c>
      <c r="C224" s="6" t="str">
        <f>Leads!B224</f>
        <v>Real Estate</v>
      </c>
      <c r="D224" s="6" t="str">
        <f>Leads!I224</f>
        <v>Naperville, IL</v>
      </c>
      <c r="E224" s="6" t="str">
        <f>Leads!E224</f>
        <v>+1 630-903-4468</v>
      </c>
      <c r="F224" s="6" t="str">
        <f>Leads!D224</f>
        <v>Lana Cole (owner/agent)</v>
      </c>
      <c r="G224" s="6" t="s">
        <v>2</v>
      </c>
      <c r="H224" s="6">
        <v>0.0</v>
      </c>
      <c r="I224" s="6"/>
      <c r="J224" s="6"/>
      <c r="K224" s="6"/>
      <c r="L224" s="6"/>
    </row>
    <row r="225" ht="15.0" customHeight="1">
      <c r="A225" s="6" t="str">
        <f>Leads!A225</f>
        <v>224</v>
      </c>
      <c r="B225" s="6" t="str">
        <f>Leads!C225</f>
        <v>Little Realty</v>
      </c>
      <c r="C225" s="6" t="str">
        <f>Leads!B225</f>
        <v>Real Estate</v>
      </c>
      <c r="D225" s="6" t="str">
        <f>Leads!I225</f>
        <v>Naperville, IL</v>
      </c>
      <c r="E225" s="6" t="str">
        <f>Leads!E225</f>
        <v>+1 630-416-9000</v>
      </c>
      <c r="F225" s="6" t="str">
        <f>Leads!D225</f>
        <v>Bob and Linda Little (owners)</v>
      </c>
      <c r="G225" s="6" t="s">
        <v>2</v>
      </c>
      <c r="H225" s="6">
        <v>0.0</v>
      </c>
      <c r="I225" s="6"/>
      <c r="J225" s="6"/>
      <c r="K225" s="6"/>
      <c r="L225" s="6"/>
    </row>
    <row r="226" ht="15.0" customHeight="1">
      <c r="A226" s="6" t="str">
        <f>Leads!A226</f>
        <v>225</v>
      </c>
      <c r="B226" s="6" t="str">
        <f>Leads!C226</f>
        <v>TG Stegall Trucking Company</v>
      </c>
      <c r="C226" s="6" t="str">
        <f>Leads!B226</f>
        <v>Logistics</v>
      </c>
      <c r="D226" s="6" t="str">
        <f>Leads!I226</f>
        <v>Charlotte, NC</v>
      </c>
      <c r="E226" s="6" t="str">
        <f>Leads!E226</f>
        <v>+1 704-343-8533</v>
      </c>
      <c r="F226" s="6" t="str">
        <f>Leads!D226</f>
        <v>Stan (contact - confirm owner)</v>
      </c>
      <c r="G226" s="6" t="s">
        <v>2</v>
      </c>
      <c r="H226" s="6">
        <v>0.0</v>
      </c>
      <c r="I226" s="6"/>
      <c r="J226" s="6"/>
      <c r="K226" s="6"/>
      <c r="L226" s="6"/>
    </row>
    <row r="227" ht="15.0" customHeight="1">
      <c r="A227" s="6" t="str">
        <f>Leads!A227</f>
        <v>226</v>
      </c>
      <c r="B227" s="6" t="str">
        <f>Leads!C227</f>
        <v>ELE Logistics, Inc.</v>
      </c>
      <c r="C227" s="6" t="str">
        <f>Leads!B227</f>
        <v>Logistics</v>
      </c>
      <c r="D227" s="6" t="str">
        <f>Leads!I227</f>
        <v>Charlotte, NC</v>
      </c>
      <c r="E227" s="6" t="str">
        <f>Leads!E227</f>
        <v>+1 704-579-5677</v>
      </c>
      <c r="F227" s="6" t="str">
        <f>Leads!D227</f>
        <v>Not identified - confirm on call</v>
      </c>
      <c r="G227" s="6" t="s">
        <v>2</v>
      </c>
      <c r="H227" s="6">
        <v>0.0</v>
      </c>
      <c r="I227" s="6"/>
      <c r="J227" s="6"/>
      <c r="K227" s="6"/>
      <c r="L227" s="6"/>
    </row>
    <row r="228" ht="15.0" customHeight="1">
      <c r="A228" s="6" t="str">
        <f>Leads!A228</f>
        <v>227</v>
      </c>
      <c r="B228" s="6" t="str">
        <f>Leads!C228</f>
        <v>Kenan Transport Co</v>
      </c>
      <c r="C228" s="6" t="str">
        <f>Leads!B228</f>
        <v>Logistics</v>
      </c>
      <c r="D228" s="6" t="str">
        <f>Leads!I228</f>
        <v>Charlotte, NC</v>
      </c>
      <c r="E228" s="6" t="str">
        <f>Leads!E228</f>
        <v>+1 704-399-1596</v>
      </c>
      <c r="F228" s="6" t="str">
        <f>Leads!D228</f>
        <v>Not identified - confirm on call</v>
      </c>
      <c r="G228" s="6" t="s">
        <v>2</v>
      </c>
      <c r="H228" s="6">
        <v>0.0</v>
      </c>
      <c r="I228" s="6"/>
      <c r="J228" s="6"/>
      <c r="K228" s="6"/>
      <c r="L228" s="6"/>
    </row>
    <row r="229" ht="15.0" customHeight="1">
      <c r="A229" s="6" t="str">
        <f>Leads!A229</f>
        <v>228</v>
      </c>
      <c r="B229" s="6" t="str">
        <f>Leads!C229</f>
        <v>Nonstop Brokerage Inc</v>
      </c>
      <c r="C229" s="6" t="str">
        <f>Leads!B229</f>
        <v>Logistics</v>
      </c>
      <c r="D229" s="6" t="str">
        <f>Leads!I229</f>
        <v>Raleigh, NC</v>
      </c>
      <c r="E229" s="6" t="str">
        <f>Leads!E229</f>
        <v>+1 919-785-0011</v>
      </c>
      <c r="F229" s="6" t="str">
        <f>Leads!D229</f>
        <v>Zach (contact - confirm owner)</v>
      </c>
      <c r="G229" s="6" t="s">
        <v>2</v>
      </c>
      <c r="H229" s="6">
        <v>0.0</v>
      </c>
      <c r="I229" s="6"/>
      <c r="J229" s="6"/>
      <c r="K229" s="6"/>
      <c r="L229" s="6"/>
    </row>
    <row r="230" ht="15.0" customHeight="1">
      <c r="A230" s="6" t="str">
        <f>Leads!A230</f>
        <v>229</v>
      </c>
      <c r="B230" s="6" t="str">
        <f>Leads!C230</f>
        <v>Craters &amp; Freighters Raleigh</v>
      </c>
      <c r="C230" s="6" t="str">
        <f>Leads!B230</f>
        <v>Logistics</v>
      </c>
      <c r="D230" s="6" t="str">
        <f>Leads!I230</f>
        <v>Raleigh, NC</v>
      </c>
      <c r="E230" s="6" t="str">
        <f>Leads!E230</f>
        <v>+1 919-662-7283</v>
      </c>
      <c r="F230" s="6" t="str">
        <f>Leads!D230</f>
        <v>Ashley (staff - confirm owner)</v>
      </c>
      <c r="G230" s="6" t="s">
        <v>2</v>
      </c>
      <c r="H230" s="6">
        <v>0.0</v>
      </c>
      <c r="I230" s="6"/>
      <c r="J230" s="6"/>
      <c r="K230" s="6"/>
      <c r="L230" s="6"/>
    </row>
    <row r="231" ht="15.0" customHeight="1">
      <c r="A231" s="6" t="str">
        <f>Leads!A231</f>
        <v>230</v>
      </c>
      <c r="B231" s="6" t="str">
        <f>Leads!C231</f>
        <v>Sadler Brothers Trucking</v>
      </c>
      <c r="C231" s="6" t="str">
        <f>Leads!B231</f>
        <v>Logistics</v>
      </c>
      <c r="D231" s="6" t="str">
        <f>Leads!I231</f>
        <v>Nashville, TN</v>
      </c>
      <c r="E231" s="6" t="str">
        <f>Leads!E231</f>
        <v>+1 615-256-4911</v>
      </c>
      <c r="F231" s="6" t="str">
        <f>Leads!D231</f>
        <v>Chris Sadler (owner)</v>
      </c>
      <c r="G231" s="6" t="s">
        <v>2</v>
      </c>
      <c r="H231" s="6">
        <v>0.0</v>
      </c>
      <c r="I231" s="6"/>
      <c r="J231" s="6"/>
      <c r="K231" s="6"/>
      <c r="L231" s="6"/>
    </row>
    <row r="232" ht="15.0" customHeight="1">
      <c r="A232" s="6" t="str">
        <f>Leads!A232</f>
        <v>231</v>
      </c>
      <c r="B232" s="6" t="str">
        <f>Leads!C232</f>
        <v>M S Logistics LLC</v>
      </c>
      <c r="C232" s="6" t="str">
        <f>Leads!B232</f>
        <v>Logistics</v>
      </c>
      <c r="D232" s="6" t="str">
        <f>Leads!I232</f>
        <v>Nashville, TN</v>
      </c>
      <c r="E232" s="6" t="str">
        <f>Leads!E232</f>
        <v>+1 615-743-2868</v>
      </c>
      <c r="F232" s="6" t="str">
        <f>Leads!D232</f>
        <v>Not identified - confirm on call</v>
      </c>
      <c r="G232" s="6" t="s">
        <v>2</v>
      </c>
      <c r="H232" s="6">
        <v>0.0</v>
      </c>
      <c r="I232" s="6"/>
      <c r="J232" s="6"/>
      <c r="K232" s="6"/>
      <c r="L232" s="6"/>
    </row>
    <row r="233" ht="15.0" customHeight="1">
      <c r="A233" s="6" t="str">
        <f>Leads!A233</f>
        <v>232</v>
      </c>
      <c r="B233" s="6" t="str">
        <f>Leads!C233</f>
        <v>Cooper Freight Service, Inc</v>
      </c>
      <c r="C233" s="6" t="str">
        <f>Leads!B233</f>
        <v>Logistics</v>
      </c>
      <c r="D233" s="6" t="str">
        <f>Leads!I233</f>
        <v>Memphis, TN</v>
      </c>
      <c r="E233" s="6" t="str">
        <f>Leads!E233</f>
        <v>+1 901-775-5007</v>
      </c>
      <c r="F233" s="6" t="str">
        <f>Leads!D233</f>
        <v>Josh (contact - confirm owner)</v>
      </c>
      <c r="G233" s="6" t="s">
        <v>2</v>
      </c>
      <c r="H233" s="6">
        <v>0.0</v>
      </c>
      <c r="I233" s="6"/>
      <c r="J233" s="6"/>
      <c r="K233" s="6"/>
      <c r="L233" s="6"/>
    </row>
    <row r="234" ht="15.0" customHeight="1">
      <c r="A234" s="6" t="str">
        <f>Leads!A234</f>
        <v>233</v>
      </c>
      <c r="B234" s="6" t="str">
        <f>Leads!C234</f>
        <v>Tripp Logistics LLC</v>
      </c>
      <c r="C234" s="6" t="str">
        <f>Leads!B234</f>
        <v>Logistics</v>
      </c>
      <c r="D234" s="6" t="str">
        <f>Leads!I234</f>
        <v>Memphis, TN</v>
      </c>
      <c r="E234" s="6" t="str">
        <f>Leads!E234</f>
        <v>+1 901-219-9644</v>
      </c>
      <c r="F234" s="6" t="str">
        <f>Leads!D234</f>
        <v>Shawn (owner)</v>
      </c>
      <c r="G234" s="6" t="s">
        <v>2</v>
      </c>
      <c r="H234" s="6">
        <v>0.0</v>
      </c>
      <c r="I234" s="6"/>
      <c r="J234" s="6"/>
      <c r="K234" s="6"/>
      <c r="L234" s="6"/>
    </row>
    <row r="235" ht="15.0" customHeight="1">
      <c r="A235" s="6" t="str">
        <f>Leads!A235</f>
        <v>234</v>
      </c>
      <c r="B235" s="6" t="str">
        <f>Leads!C235</f>
        <v>Easley Transportation</v>
      </c>
      <c r="C235" s="6" t="str">
        <f>Leads!B235</f>
        <v>Logistics</v>
      </c>
      <c r="D235" s="6" t="str">
        <f>Leads!I235</f>
        <v>Memphis, TN</v>
      </c>
      <c r="E235" s="6" t="str">
        <f>Leads!E235</f>
        <v>+1 901-362-5152</v>
      </c>
      <c r="F235" s="6" t="str">
        <f>Leads!D235</f>
        <v>Tierra (staff - confirm owner)</v>
      </c>
      <c r="G235" s="6" t="s">
        <v>2</v>
      </c>
      <c r="H235" s="6">
        <v>0.0</v>
      </c>
      <c r="I235" s="6"/>
      <c r="J235" s="6"/>
      <c r="K235" s="6"/>
      <c r="L235" s="6"/>
    </row>
    <row r="236" ht="15.0" customHeight="1">
      <c r="A236" s="6" t="str">
        <f>Leads!A236</f>
        <v>235</v>
      </c>
      <c r="B236" s="6" t="str">
        <f>Leads!C236</f>
        <v>Stewart Transport</v>
      </c>
      <c r="C236" s="6" t="str">
        <f>Leads!B236</f>
        <v>Logistics</v>
      </c>
      <c r="D236" s="6" t="str">
        <f>Leads!I236</f>
        <v>Phoenix, AZ</v>
      </c>
      <c r="E236" s="6" t="str">
        <f>Leads!E236</f>
        <v>+1 602-242-1800</v>
      </c>
      <c r="F236" s="6" t="str">
        <f>Leads!D236</f>
        <v>Not identified - confirm on call</v>
      </c>
      <c r="G236" s="6" t="s">
        <v>2</v>
      </c>
      <c r="H236" s="6">
        <v>0.0</v>
      </c>
      <c r="I236" s="6"/>
      <c r="J236" s="6"/>
      <c r="K236" s="6"/>
      <c r="L236" s="6"/>
    </row>
    <row r="237" ht="15.0" customHeight="1">
      <c r="A237" s="6" t="str">
        <f>Leads!A237</f>
        <v>236</v>
      </c>
      <c r="B237" s="6" t="str">
        <f>Leads!C237</f>
        <v>Shippers Preferred Express, Inc.</v>
      </c>
      <c r="C237" s="6" t="str">
        <f>Leads!B237</f>
        <v>Logistics</v>
      </c>
      <c r="D237" s="6" t="str">
        <f>Leads!I237</f>
        <v>Phoenix, AZ</v>
      </c>
      <c r="E237" s="6" t="str">
        <f>Leads!E237</f>
        <v>+1 602-278-6004</v>
      </c>
      <c r="F237" s="6" t="str">
        <f>Leads!D237</f>
        <v>Alex (dispatch - confirm owner)</v>
      </c>
      <c r="G237" s="6" t="s">
        <v>2</v>
      </c>
      <c r="H237" s="6">
        <v>0.0</v>
      </c>
      <c r="I237" s="6"/>
      <c r="J237" s="6"/>
      <c r="K237" s="6"/>
      <c r="L237" s="6"/>
    </row>
    <row r="238" ht="15.0" customHeight="1">
      <c r="A238" s="6" t="str">
        <f>Leads!A238</f>
        <v>237</v>
      </c>
      <c r="B238" s="6" t="str">
        <f>Leads!C238</f>
        <v>Gtx Transport Llc</v>
      </c>
      <c r="C238" s="6" t="str">
        <f>Leads!B238</f>
        <v>Logistics</v>
      </c>
      <c r="D238" s="6" t="str">
        <f>Leads!I238</f>
        <v>Laveen Village, AZ</v>
      </c>
      <c r="E238" s="6" t="str">
        <f>Leads!E238</f>
        <v>+1 602-459-4329</v>
      </c>
      <c r="F238" s="6" t="str">
        <f>Leads!D238</f>
        <v>Paul Gill (owner)</v>
      </c>
      <c r="G238" s="6" t="s">
        <v>2</v>
      </c>
      <c r="H238" s="6">
        <v>0.0</v>
      </c>
      <c r="I238" s="6"/>
      <c r="J238" s="6"/>
      <c r="K238" s="6"/>
      <c r="L238" s="6"/>
    </row>
    <row r="239" ht="15.0" customHeight="1">
      <c r="A239" s="6" t="str">
        <f>Leads!A239</f>
        <v>238</v>
      </c>
      <c r="B239" s="6" t="str">
        <f>Leads!C239</f>
        <v>Freight Services</v>
      </c>
      <c r="C239" s="6" t="str">
        <f>Leads!B239</f>
        <v>Logistics</v>
      </c>
      <c r="D239" s="6" t="str">
        <f>Leads!I239</f>
        <v>Tucson, AZ</v>
      </c>
      <c r="E239" s="6" t="str">
        <f>Leads!E239</f>
        <v>+1 520-777-3850</v>
      </c>
      <c r="F239" s="6" t="str">
        <f>Leads!D239</f>
        <v>Not identified - confirm on call</v>
      </c>
      <c r="G239" s="6" t="s">
        <v>2</v>
      </c>
      <c r="H239" s="6">
        <v>0.0</v>
      </c>
      <c r="I239" s="6"/>
      <c r="J239" s="6"/>
      <c r="K239" s="6"/>
      <c r="L239" s="6"/>
    </row>
    <row r="240" ht="15.0" customHeight="1">
      <c r="A240" s="6" t="str">
        <f>Leads!A240</f>
        <v>239</v>
      </c>
      <c r="B240" s="6" t="str">
        <f>Leads!C240</f>
        <v>Grasshopper Trans</v>
      </c>
      <c r="C240" s="6" t="str">
        <f>Leads!B240</f>
        <v>Logistics</v>
      </c>
      <c r="D240" s="6" t="str">
        <f>Leads!I240</f>
        <v>Chicago, IL</v>
      </c>
      <c r="E240" s="6" t="str">
        <f>Leads!E240</f>
        <v>+1 312-724-8400</v>
      </c>
      <c r="F240" s="6" t="str">
        <f>Leads!D240</f>
        <v>Not identified - confirm on call</v>
      </c>
      <c r="G240" s="6" t="s">
        <v>2</v>
      </c>
      <c r="H240" s="6">
        <v>0.0</v>
      </c>
      <c r="I240" s="6"/>
      <c r="J240" s="6"/>
      <c r="K240" s="6"/>
      <c r="L240" s="6"/>
    </row>
    <row r="241" ht="23.25" customHeight="1">
      <c r="A241" s="6" t="str">
        <f>Leads!A241</f>
        <v>240</v>
      </c>
      <c r="B241" s="6" t="str">
        <f>Leads!C241</f>
        <v>Sargent Logistics - Cross Dock, Warehousing</v>
      </c>
      <c r="C241" s="6" t="str">
        <f>Leads!B241</f>
        <v>Logistics</v>
      </c>
      <c r="D241" s="6" t="str">
        <f>Leads!I241</f>
        <v>Chicago, IL</v>
      </c>
      <c r="E241" s="6" t="str">
        <f>Leads!E241</f>
        <v>+1 773-816-5899</v>
      </c>
      <c r="F241" s="6" t="str">
        <f>Leads!D241</f>
        <v>Not identified - confirm on call</v>
      </c>
      <c r="G241" s="6" t="s">
        <v>2</v>
      </c>
      <c r="H241" s="6">
        <v>0.0</v>
      </c>
      <c r="I241" s="6"/>
      <c r="J241" s="6"/>
      <c r="K241" s="6"/>
      <c r="L241" s="6"/>
    </row>
    <row r="242" ht="15.0" customHeight="1">
      <c r="A242" s="6" t="str">
        <f>Leads!A242</f>
        <v>241</v>
      </c>
      <c r="B242" s="6" t="str">
        <f>Leads!C242</f>
        <v>Freight Tech Cartage, Inc.</v>
      </c>
      <c r="C242" s="6" t="str">
        <f>Leads!B242</f>
        <v>Logistics</v>
      </c>
      <c r="D242" s="6" t="str">
        <f>Leads!I242</f>
        <v>Naperville, IL</v>
      </c>
      <c r="E242" s="6" t="str">
        <f>Leads!E242</f>
        <v>+1 847-258-3113</v>
      </c>
      <c r="F242" s="6" t="str">
        <f>Leads!D242</f>
        <v>Vito (owner)</v>
      </c>
      <c r="G242" s="6" t="s">
        <v>2</v>
      </c>
      <c r="H242" s="6">
        <v>0.0</v>
      </c>
      <c r="I242" s="6"/>
      <c r="J242" s="6"/>
      <c r="K242" s="6"/>
      <c r="L242" s="6"/>
    </row>
    <row r="243" ht="15.0" customHeight="1">
      <c r="A243" s="6" t="str">
        <f>Leads!A243</f>
        <v>242</v>
      </c>
      <c r="B243" s="6" t="str">
        <f>Leads!C243</f>
        <v>Freightech Inc</v>
      </c>
      <c r="C243" s="6" t="str">
        <f>Leads!B243</f>
        <v>Logistics</v>
      </c>
      <c r="D243" s="6" t="str">
        <f>Leads!I243</f>
        <v>Romeoville, IL</v>
      </c>
      <c r="E243" s="6" t="str">
        <f>Leads!E243</f>
        <v>+1 708-526-2130</v>
      </c>
      <c r="F243" s="6" t="str">
        <f>Leads!D243</f>
        <v>Aleck (owner)</v>
      </c>
      <c r="G243" s="6" t="s">
        <v>2</v>
      </c>
      <c r="H243" s="6">
        <v>0.0</v>
      </c>
      <c r="I243" s="6"/>
      <c r="J243" s="6"/>
      <c r="K243" s="6"/>
      <c r="L243" s="6"/>
    </row>
    <row r="244" ht="15.0" customHeight="1">
      <c r="A244" s="6" t="str">
        <f>Leads!A244</f>
        <v>243</v>
      </c>
      <c r="B244" s="6" t="str">
        <f>Leads!C244</f>
        <v>The Delivery Authority</v>
      </c>
      <c r="C244" s="6" t="str">
        <f>Leads!B244</f>
        <v>Logistics</v>
      </c>
      <c r="D244" s="6" t="str">
        <f>Leads!I244</f>
        <v>Naperville, IL</v>
      </c>
      <c r="E244" s="6" t="str">
        <f>Leads!E244</f>
        <v>+1 630-893-7100</v>
      </c>
      <c r="F244" s="6" t="str">
        <f>Leads!D244</f>
        <v>Whitney (ops - confirm owner)</v>
      </c>
      <c r="G244" s="6" t="s">
        <v>2</v>
      </c>
      <c r="H244" s="6">
        <v>0.0</v>
      </c>
      <c r="I244" s="6"/>
      <c r="J244" s="6"/>
      <c r="K244" s="6"/>
      <c r="L244" s="6"/>
    </row>
    <row r="245" ht="23.25" customHeight="1">
      <c r="A245" s="6" t="str">
        <f>Leads!A245</f>
        <v>244</v>
      </c>
      <c r="B245" s="6" t="str">
        <f>Leads!C245</f>
        <v>Ivan and Mike Team | Luxury Real Estate Experts</v>
      </c>
      <c r="C245" s="6" t="str">
        <f>Leads!B245</f>
        <v>Real Estate</v>
      </c>
      <c r="D245" s="6" t="str">
        <f>Leads!I245</f>
        <v>Miami, FL</v>
      </c>
      <c r="E245" s="6" t="str">
        <f>Leads!E245</f>
        <v>+1 305-877-5236</v>
      </c>
      <c r="F245" s="6" t="str">
        <f>Leads!D245</f>
        <v>Ivan / Mike (team leads - confirm)</v>
      </c>
      <c r="G245" s="6" t="s">
        <v>2</v>
      </c>
      <c r="H245" s="6">
        <v>0.0</v>
      </c>
      <c r="I245" s="6"/>
      <c r="J245" s="6"/>
      <c r="K245" s="6"/>
      <c r="L245" s="6"/>
    </row>
    <row r="246" ht="23.25" customHeight="1">
      <c r="A246" s="6" t="str">
        <f>Leads!A246</f>
        <v>245</v>
      </c>
      <c r="B246" s="6" t="str">
        <f>Leads!C246</f>
        <v>Miami Real Estate - The Coden Ferraro Group</v>
      </c>
      <c r="C246" s="6" t="str">
        <f>Leads!B246</f>
        <v>Real Estate</v>
      </c>
      <c r="D246" s="6" t="str">
        <f>Leads!I246</f>
        <v>Miami, FL</v>
      </c>
      <c r="E246" s="6" t="str">
        <f>Leads!E246</f>
        <v>+1 305-742-5225</v>
      </c>
      <c r="F246" s="6" t="str">
        <f>Leads!D246</f>
        <v>Daniela / Jack Coden (agents - confirm owner)</v>
      </c>
      <c r="G246" s="6" t="s">
        <v>2</v>
      </c>
      <c r="H246" s="6">
        <v>0.0</v>
      </c>
      <c r="I246" s="6"/>
      <c r="J246" s="6"/>
      <c r="K246" s="6"/>
      <c r="L246" s="6"/>
    </row>
    <row r="247" ht="23.25" customHeight="1">
      <c r="A247" s="6" t="str">
        <f>Leads!A247</f>
        <v>246</v>
      </c>
      <c r="B247" s="6" t="str">
        <f>Leads!C247</f>
        <v>Sebastian Acosta, Realtor in Miami</v>
      </c>
      <c r="C247" s="6" t="str">
        <f>Leads!B247</f>
        <v>Real Estate</v>
      </c>
      <c r="D247" s="6" t="str">
        <f>Leads!I247</f>
        <v>Miami, FL</v>
      </c>
      <c r="E247" s="6" t="str">
        <f>Leads!E247</f>
        <v>+1 305-244-6222</v>
      </c>
      <c r="F247" s="6" t="str">
        <f>Leads!D247</f>
        <v>Sebastian Acosta (owner/agent)</v>
      </c>
      <c r="G247" s="6" t="s">
        <v>2</v>
      </c>
      <c r="H247" s="6">
        <v>0.0</v>
      </c>
      <c r="I247" s="6"/>
      <c r="J247" s="6"/>
      <c r="K247" s="6"/>
      <c r="L247" s="6"/>
    </row>
    <row r="248" ht="23.25" customHeight="1">
      <c r="A248" s="6" t="str">
        <f>Leads!A248</f>
        <v>247</v>
      </c>
      <c r="B248" s="6" t="str">
        <f>Leads!C248</f>
        <v>Riley Smith Group</v>
      </c>
      <c r="C248" s="6" t="str">
        <f>Leads!B248</f>
        <v>Real Estate</v>
      </c>
      <c r="D248" s="6" t="str">
        <f>Leads!I248</f>
        <v>Miami, FL</v>
      </c>
      <c r="E248" s="6" t="str">
        <f>Leads!E248</f>
        <v>+1 305-342-1623</v>
      </c>
      <c r="F248" s="6" t="str">
        <f>Leads!D248</f>
        <v>Riley Smith / Anthony (agents - confirm owner)</v>
      </c>
      <c r="G248" s="6" t="s">
        <v>2</v>
      </c>
      <c r="H248" s="6">
        <v>0.0</v>
      </c>
      <c r="I248" s="6"/>
      <c r="J248" s="6"/>
      <c r="K248" s="6"/>
      <c r="L248" s="6"/>
    </row>
    <row r="249" ht="23.25" customHeight="1">
      <c r="A249" s="6" t="str">
        <f>Leads!A249</f>
        <v>248</v>
      </c>
      <c r="B249" s="6" t="str">
        <f>Leads!C249</f>
        <v>HAUS Real Estate</v>
      </c>
      <c r="C249" s="6" t="str">
        <f>Leads!B249</f>
        <v>Real Estate</v>
      </c>
      <c r="D249" s="6" t="str">
        <f>Leads!I249</f>
        <v>Orlando, FL</v>
      </c>
      <c r="E249" s="6" t="str">
        <f>Leads!E249</f>
        <v>+1 407-448-3141</v>
      </c>
      <c r="F249" s="6" t="str">
        <f>Leads!D249</f>
        <v>Hollie Gondera (agent - confirm owner)</v>
      </c>
      <c r="G249" s="6" t="s">
        <v>2</v>
      </c>
      <c r="H249" s="6">
        <v>0.0</v>
      </c>
      <c r="I249" s="6"/>
      <c r="J249" s="6"/>
      <c r="K249" s="6"/>
      <c r="L249" s="6"/>
    </row>
    <row r="250" ht="23.25" customHeight="1">
      <c r="A250" s="6" t="str">
        <f>Leads!A250</f>
        <v>249</v>
      </c>
      <c r="B250" s="6" t="str">
        <f>Leads!C250</f>
        <v>ALL Real Estate and Investments</v>
      </c>
      <c r="C250" s="6" t="str">
        <f>Leads!B250</f>
        <v>Real Estate</v>
      </c>
      <c r="D250" s="6" t="str">
        <f>Leads!I250</f>
        <v>Orlando, FL</v>
      </c>
      <c r="E250" s="6" t="str">
        <f>Leads!E250</f>
        <v>+1 407-757-4429</v>
      </c>
      <c r="F250" s="6" t="str">
        <f>Leads!D250</f>
        <v>Laura / Stacia (agents - confirm owner)</v>
      </c>
      <c r="G250" s="6" t="s">
        <v>2</v>
      </c>
      <c r="H250" s="6">
        <v>0.0</v>
      </c>
      <c r="I250" s="6"/>
      <c r="J250" s="6"/>
      <c r="K250" s="6"/>
      <c r="L250" s="6"/>
    </row>
    <row r="251" ht="23.25" customHeight="1">
      <c r="A251" s="6" t="str">
        <f>Leads!A251</f>
        <v>250</v>
      </c>
      <c r="B251" s="6" t="str">
        <f>Leads!C251</f>
        <v>Campbell Real Estate Group at Atlantic Sotheby's</v>
      </c>
      <c r="C251" s="6" t="str">
        <f>Leads!B251</f>
        <v>Real Estate</v>
      </c>
      <c r="D251" s="6" t="str">
        <f>Leads!I251</f>
        <v>Norfolk, VA</v>
      </c>
      <c r="E251" s="6" t="str">
        <f>Leads!E251</f>
        <v>+1 757-284-8248</v>
      </c>
      <c r="F251" s="6" t="str">
        <f>Leads!D251</f>
        <v>Janis and Claire Campbell (owners)</v>
      </c>
      <c r="G251" s="6" t="s">
        <v>2</v>
      </c>
      <c r="H251" s="6">
        <v>0.0</v>
      </c>
      <c r="I251" s="6"/>
      <c r="J251" s="6"/>
      <c r="K251" s="6"/>
      <c r="L251" s="6"/>
    </row>
    <row r="252" ht="23.25" customHeight="1">
      <c r="A252" s="6" t="str">
        <f>Leads!A252</f>
        <v>251</v>
      </c>
      <c r="B252" s="6" t="str">
        <f>Leads!C252</f>
        <v>Emily Berry | Chesapeake, VA Real Estate Agent</v>
      </c>
      <c r="C252" s="6" t="str">
        <f>Leads!B252</f>
        <v>Real Estate</v>
      </c>
      <c r="D252" s="6" t="str">
        <f>Leads!I252</f>
        <v>Norfolk, VA</v>
      </c>
      <c r="E252" s="6" t="str">
        <f>Leads!E252</f>
        <v>+1 757-933-3022</v>
      </c>
      <c r="F252" s="6" t="str">
        <f>Leads!D252</f>
        <v>Emily Berry (owner/agent)</v>
      </c>
      <c r="G252" s="6" t="s">
        <v>2</v>
      </c>
      <c r="H252" s="6">
        <v>0.0</v>
      </c>
      <c r="I252" s="6"/>
      <c r="J252" s="6"/>
      <c r="K252" s="6"/>
      <c r="L252" s="6"/>
    </row>
    <row r="253" ht="23.25" customHeight="1">
      <c r="A253" s="6" t="str">
        <f>Leads!A253</f>
        <v>252</v>
      </c>
      <c r="B253" s="6" t="str">
        <f>Leads!C253</f>
        <v>LUX Real Estate Company ERA Powered</v>
      </c>
      <c r="C253" s="6" t="str">
        <f>Leads!B253</f>
        <v>Real Estate</v>
      </c>
      <c r="D253" s="6" t="str">
        <f>Leads!I253</f>
        <v>Denver, CO</v>
      </c>
      <c r="E253" s="6" t="str">
        <f>Leads!E253</f>
        <v>+1 303-952-5078</v>
      </c>
      <c r="F253" s="6" t="str">
        <f>Leads!D253</f>
        <v>Tanya / Tom Sagona (agents - confirm owner)</v>
      </c>
      <c r="G253" s="6" t="s">
        <v>2</v>
      </c>
      <c r="H253" s="6">
        <v>0.0</v>
      </c>
      <c r="I253" s="6"/>
      <c r="J253" s="6"/>
      <c r="K253" s="6"/>
      <c r="L253" s="6"/>
    </row>
    <row r="254" ht="23.25" customHeight="1">
      <c r="A254" s="6" t="str">
        <f>Leads!A254</f>
        <v>253</v>
      </c>
      <c r="B254" s="6" t="str">
        <f>Leads!C254</f>
        <v>Blue Picket Realty</v>
      </c>
      <c r="C254" s="6" t="str">
        <f>Leads!B254</f>
        <v>Real Estate</v>
      </c>
      <c r="D254" s="6" t="str">
        <f>Leads!I254</f>
        <v>Colorado Springs, CO</v>
      </c>
      <c r="E254" s="6" t="str">
        <f>Leads!E254</f>
        <v>+1 719-357-7653</v>
      </c>
      <c r="F254" s="6" t="str">
        <f>Leads!D254</f>
        <v>Katie / Alberto (agents - confirm owner)</v>
      </c>
      <c r="G254" s="6" t="s">
        <v>2</v>
      </c>
      <c r="H254" s="6">
        <v>0.0</v>
      </c>
      <c r="I254" s="6"/>
      <c r="J254" s="6"/>
      <c r="K254" s="6"/>
      <c r="L254" s="6"/>
    </row>
    <row r="255" ht="15.0" customHeight="1">
      <c r="A255" s="6" t="str">
        <f>Leads!A255</f>
        <v>254</v>
      </c>
      <c r="B255" s="6" t="str">
        <f>Leads!C255</f>
        <v>Katrina Eileen</v>
      </c>
      <c r="C255" s="6" t="str">
        <f>Leads!B255</f>
        <v>Real Estate</v>
      </c>
      <c r="D255" s="6" t="str">
        <f>Leads!I255</f>
        <v>Seattle, WA</v>
      </c>
      <c r="E255" s="6" t="str">
        <f>Leads!E255</f>
        <v>+1 206-279-9944</v>
      </c>
      <c r="F255" s="6" t="str">
        <f>Leads!D255</f>
        <v>Not identified - confirm on call</v>
      </c>
      <c r="G255" s="6" t="s">
        <v>2</v>
      </c>
      <c r="H255" s="6">
        <v>0.0</v>
      </c>
      <c r="I255" s="6"/>
      <c r="J255" s="6"/>
      <c r="K255" s="6"/>
      <c r="L255" s="6"/>
    </row>
    <row r="256" ht="23.25" customHeight="1">
      <c r="A256" s="6" t="str">
        <f>Leads!A256</f>
        <v>255</v>
      </c>
      <c r="B256" s="6" t="str">
        <f>Leads!C256</f>
        <v>Ensemble</v>
      </c>
      <c r="C256" s="6" t="str">
        <f>Leads!B256</f>
        <v>Real Estate</v>
      </c>
      <c r="D256" s="6" t="str">
        <f>Leads!I256</f>
        <v>Seattle, WA</v>
      </c>
      <c r="E256" s="6" t="str">
        <f>Leads!E256</f>
        <v>+1 206-999-2568</v>
      </c>
      <c r="F256" s="6" t="str">
        <f>Leads!D256</f>
        <v>Kale Corey / Todd (agents - confirm owner)</v>
      </c>
      <c r="G256" s="6" t="s">
        <v>2</v>
      </c>
      <c r="H256" s="6">
        <v>0.0</v>
      </c>
      <c r="I256" s="6"/>
      <c r="J256" s="6"/>
      <c r="K256" s="6"/>
      <c r="L256" s="6"/>
    </row>
    <row r="257" ht="23.25" customHeight="1">
      <c r="A257" s="6" t="str">
        <f>Leads!A257</f>
        <v>256</v>
      </c>
      <c r="B257" s="6" t="str">
        <f>Leads!C257</f>
        <v>Dustin Cramer | Spokane Real Estate Agent</v>
      </c>
      <c r="C257" s="6" t="str">
        <f>Leads!B257</f>
        <v>Real Estate</v>
      </c>
      <c r="D257" s="6" t="str">
        <f>Leads!I257</f>
        <v>Spokane, WA</v>
      </c>
      <c r="E257" s="6" t="str">
        <f>Leads!E257</f>
        <v>+1 509-263-1870</v>
      </c>
      <c r="F257" s="6" t="str">
        <f>Leads!D257</f>
        <v>Dustin Cramer (owner/agent)</v>
      </c>
      <c r="G257" s="6" t="s">
        <v>2</v>
      </c>
      <c r="H257" s="6">
        <v>0.0</v>
      </c>
      <c r="I257" s="6"/>
      <c r="J257" s="6"/>
      <c r="K257" s="6"/>
      <c r="L257" s="6"/>
    </row>
    <row r="258" ht="15.0" customHeight="1">
      <c r="A258" s="6" t="str">
        <f>Leads!A258</f>
        <v>257</v>
      </c>
      <c r="B258" s="6" t="str">
        <f>Leads!C258</f>
        <v>Dream Team Realtors</v>
      </c>
      <c r="C258" s="6" t="str">
        <f>Leads!B258</f>
        <v>Real Estate</v>
      </c>
      <c r="D258" s="6" t="str">
        <f>Leads!I258</f>
        <v>Spokane, WA</v>
      </c>
      <c r="E258" s="6" t="str">
        <f>Leads!E258</f>
        <v>+1 509-279-0251</v>
      </c>
      <c r="F258" s="6" t="str">
        <f>Leads!D258</f>
        <v>Not identified - confirm on call</v>
      </c>
      <c r="G258" s="6" t="s">
        <v>2</v>
      </c>
      <c r="H258" s="6">
        <v>0.0</v>
      </c>
      <c r="I258" s="6"/>
      <c r="J258" s="6"/>
      <c r="K258" s="6"/>
      <c r="L258" s="6"/>
    </row>
    <row r="259" ht="15.0" customHeight="1">
      <c r="A259" s="6" t="str">
        <f>Leads!A259</f>
        <v>258</v>
      </c>
      <c r="B259" s="6" t="str">
        <f>Leads!C259</f>
        <v>Smart Transport Inc</v>
      </c>
      <c r="C259" s="6" t="str">
        <f>Leads!B259</f>
        <v>Logistics</v>
      </c>
      <c r="D259" s="6" t="str">
        <f>Leads!I259</f>
        <v>Hialeah, FL</v>
      </c>
      <c r="E259" s="6" t="str">
        <f>Leads!E259</f>
        <v>+1 786-286-9669</v>
      </c>
      <c r="F259" s="6" t="str">
        <f>Leads!D259</f>
        <v>Zeena and Roger (owners)</v>
      </c>
      <c r="G259" s="6" t="s">
        <v>2</v>
      </c>
      <c r="H259" s="6">
        <v>0.0</v>
      </c>
      <c r="I259" s="6"/>
      <c r="J259" s="6"/>
      <c r="K259" s="6"/>
      <c r="L259" s="6"/>
    </row>
    <row r="260" ht="15.0" customHeight="1">
      <c r="A260" s="6" t="str">
        <f>Leads!A260</f>
        <v>259</v>
      </c>
      <c r="B260" s="6" t="str">
        <f>Leads!C260</f>
        <v>Unique Trucking Express</v>
      </c>
      <c r="C260" s="6" t="str">
        <f>Leads!B260</f>
        <v>Logistics</v>
      </c>
      <c r="D260" s="6" t="str">
        <f>Leads!I260</f>
        <v>Miami, FL</v>
      </c>
      <c r="E260" s="6" t="str">
        <f>Leads!E260</f>
        <v>+1 305-836-7080</v>
      </c>
      <c r="F260" s="6" t="str">
        <f>Leads!D260</f>
        <v>Luis (owner - confirm)</v>
      </c>
      <c r="G260" s="6" t="s">
        <v>2</v>
      </c>
      <c r="H260" s="6">
        <v>0.0</v>
      </c>
      <c r="I260" s="6"/>
      <c r="J260" s="6"/>
      <c r="K260" s="6"/>
      <c r="L260" s="6"/>
    </row>
    <row r="261" ht="23.25" customHeight="1">
      <c r="A261" s="6" t="str">
        <f>Leads!A261</f>
        <v>260</v>
      </c>
      <c r="B261" s="6" t="str">
        <f>Leads!C261</f>
        <v>QuickLoad Inc.</v>
      </c>
      <c r="C261" s="6" t="str">
        <f>Leads!B261</f>
        <v>Logistics</v>
      </c>
      <c r="D261" s="6" t="str">
        <f>Leads!I261</f>
        <v>Miami, FL</v>
      </c>
      <c r="E261" s="6" t="str">
        <f>Leads!E261</f>
        <v>+1 305-827-0001</v>
      </c>
      <c r="F261" s="6" t="str">
        <f>Leads!D261</f>
        <v>Ana / Diego (staff - confirm owner)</v>
      </c>
      <c r="G261" s="6" t="s">
        <v>2</v>
      </c>
      <c r="H261" s="6">
        <v>0.0</v>
      </c>
      <c r="I261" s="6"/>
      <c r="J261" s="6"/>
      <c r="K261" s="6"/>
      <c r="L261" s="6"/>
    </row>
    <row r="262" ht="15.0" customHeight="1">
      <c r="A262" s="6" t="str">
        <f>Leads!A262</f>
        <v>261</v>
      </c>
      <c r="B262" s="6" t="str">
        <f>Leads!C262</f>
        <v>Lisma Logistics Inc.</v>
      </c>
      <c r="C262" s="6" t="str">
        <f>Leads!B262</f>
        <v>Logistics</v>
      </c>
      <c r="D262" s="6" t="str">
        <f>Leads!I262</f>
        <v>Orlando, FL</v>
      </c>
      <c r="E262" s="6" t="str">
        <f>Leads!E262</f>
        <v>+1 954-665-6655</v>
      </c>
      <c r="F262" s="6" t="str">
        <f>Leads!D262</f>
        <v>Not identified - confirm on call</v>
      </c>
      <c r="G262" s="6" t="s">
        <v>2</v>
      </c>
      <c r="H262" s="6">
        <v>0.0</v>
      </c>
      <c r="I262" s="6"/>
      <c r="J262" s="6"/>
      <c r="K262" s="6"/>
      <c r="L262" s="6"/>
    </row>
    <row r="263" ht="23.25" customHeight="1">
      <c r="A263" s="6" t="str">
        <f>Leads!A263</f>
        <v>262</v>
      </c>
      <c r="B263" s="6" t="str">
        <f>Leads!C263</f>
        <v>7 ACE Logistics Company | Freight Broker</v>
      </c>
      <c r="C263" s="6" t="str">
        <f>Leads!B263</f>
        <v>Logistics</v>
      </c>
      <c r="D263" s="6" t="str">
        <f>Leads!I263</f>
        <v>Orlando, FL</v>
      </c>
      <c r="E263" s="6" t="str">
        <f>Leads!E263</f>
        <v>+1 914-359-2067</v>
      </c>
      <c r="F263" s="6" t="str">
        <f>Leads!D263</f>
        <v>Debora (staff - confirm owner)</v>
      </c>
      <c r="G263" s="6" t="s">
        <v>2</v>
      </c>
      <c r="H263" s="6">
        <v>0.0</v>
      </c>
      <c r="I263" s="6"/>
      <c r="J263" s="6"/>
      <c r="K263" s="6"/>
      <c r="L263" s="6"/>
    </row>
    <row r="264" ht="15.0" customHeight="1">
      <c r="A264" s="6" t="str">
        <f>Leads!A264</f>
        <v>263</v>
      </c>
      <c r="B264" s="6" t="str">
        <f>Leads!C264</f>
        <v>Orlando Mainfreight Transport</v>
      </c>
      <c r="C264" s="6" t="str">
        <f>Leads!B264</f>
        <v>Logistics</v>
      </c>
      <c r="D264" s="6" t="str">
        <f>Leads!I264</f>
        <v>Orlando, FL</v>
      </c>
      <c r="E264" s="6" t="str">
        <f>Leads!E264</f>
        <v>+1 689-348-7556</v>
      </c>
      <c r="F264" s="6" t="str">
        <f>Leads!D264</f>
        <v>Not identified - confirm on call</v>
      </c>
      <c r="G264" s="6" t="s">
        <v>2</v>
      </c>
      <c r="H264" s="6">
        <v>0.0</v>
      </c>
      <c r="I264" s="6"/>
      <c r="J264" s="6"/>
      <c r="K264" s="6"/>
      <c r="L264" s="6"/>
    </row>
    <row r="265" ht="15.0" customHeight="1">
      <c r="A265" s="6" t="str">
        <f>Leads!A265</f>
        <v>264</v>
      </c>
      <c r="B265" s="6" t="str">
        <f>Leads!C265</f>
        <v>DSW Freight Carriers, Inc.</v>
      </c>
      <c r="C265" s="6" t="str">
        <f>Leads!B265</f>
        <v>Logistics</v>
      </c>
      <c r="D265" s="6" t="str">
        <f>Leads!I265</f>
        <v>Richmond, VA</v>
      </c>
      <c r="E265" s="6" t="str">
        <f>Leads!E265</f>
        <v>+1 804-596-3100</v>
      </c>
      <c r="F265" s="6" t="str">
        <f>Leads!D265</f>
        <v>Not identified - confirm on call</v>
      </c>
      <c r="G265" s="6" t="s">
        <v>2</v>
      </c>
      <c r="H265" s="6">
        <v>0.0</v>
      </c>
      <c r="I265" s="6"/>
      <c r="J265" s="6"/>
      <c r="K265" s="6"/>
      <c r="L265" s="6"/>
    </row>
    <row r="266" ht="15.0" customHeight="1">
      <c r="A266" s="6" t="str">
        <f>Leads!A266</f>
        <v>265</v>
      </c>
      <c r="B266" s="6" t="str">
        <f>Leads!C266</f>
        <v>Bill's Trucking</v>
      </c>
      <c r="C266" s="6" t="str">
        <f>Leads!B266</f>
        <v>Logistics</v>
      </c>
      <c r="D266" s="6" t="str">
        <f>Leads!I266</f>
        <v>Richmond, VA</v>
      </c>
      <c r="E266" s="6" t="str">
        <f>Leads!E266</f>
        <v>+1 804-275-9919</v>
      </c>
      <c r="F266" s="6" t="str">
        <f>Leads!D266</f>
        <v>Bill (owner)</v>
      </c>
      <c r="G266" s="6" t="s">
        <v>2</v>
      </c>
      <c r="H266" s="6">
        <v>0.0</v>
      </c>
      <c r="I266" s="6"/>
      <c r="J266" s="6"/>
      <c r="K266" s="6"/>
      <c r="L266" s="6"/>
    </row>
    <row r="267" ht="15.0" customHeight="1">
      <c r="A267" s="6" t="str">
        <f>Leads!A267</f>
        <v>266</v>
      </c>
      <c r="B267" s="6" t="str">
        <f>Leads!C267</f>
        <v>Carroll Trucking Inc.</v>
      </c>
      <c r="C267" s="6" t="str">
        <f>Leads!B267</f>
        <v>Logistics</v>
      </c>
      <c r="D267" s="6" t="str">
        <f>Leads!I267</f>
        <v>Norfolk, VA</v>
      </c>
      <c r="E267" s="6" t="str">
        <f>Leads!E267</f>
        <v>+1 757-853-1170</v>
      </c>
      <c r="F267" s="6" t="str">
        <f>Leads!D267</f>
        <v>Not identified - confirm on call</v>
      </c>
      <c r="G267" s="6" t="s">
        <v>2</v>
      </c>
      <c r="H267" s="6">
        <v>0.0</v>
      </c>
      <c r="I267" s="6"/>
      <c r="J267" s="6"/>
      <c r="K267" s="6"/>
      <c r="L267" s="6"/>
    </row>
    <row r="268" ht="15.0" customHeight="1">
      <c r="A268" s="6" t="str">
        <f>Leads!A268</f>
        <v>267</v>
      </c>
      <c r="B268" s="6" t="str">
        <f>Leads!C268</f>
        <v>GEESE Logistics</v>
      </c>
      <c r="C268" s="6" t="str">
        <f>Leads!B268</f>
        <v>Logistics</v>
      </c>
      <c r="D268" s="6" t="str">
        <f>Leads!I268</f>
        <v>Norfolk, VA</v>
      </c>
      <c r="E268" s="6" t="str">
        <f>Leads!E268</f>
        <v>+1 757-491-8400</v>
      </c>
      <c r="F268" s="6" t="str">
        <f>Leads!D268</f>
        <v>Not identified - confirm on call</v>
      </c>
      <c r="G268" s="6" t="s">
        <v>2</v>
      </c>
      <c r="H268" s="6">
        <v>0.0</v>
      </c>
      <c r="I268" s="6"/>
      <c r="J268" s="6"/>
      <c r="K268" s="6"/>
      <c r="L268" s="6"/>
    </row>
    <row r="269" ht="15.0" customHeight="1">
      <c r="A269" s="6" t="str">
        <f>Leads!A269</f>
        <v>268</v>
      </c>
      <c r="B269" s="6" t="str">
        <f>Leads!C269</f>
        <v>Sovereign Freight Brokers</v>
      </c>
      <c r="C269" s="6" t="str">
        <f>Leads!B269</f>
        <v>Logistics</v>
      </c>
      <c r="D269" s="6" t="str">
        <f>Leads!I269</f>
        <v>Norfolk, VA</v>
      </c>
      <c r="E269" s="6" t="str">
        <f>Leads!E269</f>
        <v>+1 757-621-4232</v>
      </c>
      <c r="F269" s="6" t="str">
        <f>Leads!D269</f>
        <v>Not identified - confirm on call</v>
      </c>
      <c r="G269" s="6" t="s">
        <v>2</v>
      </c>
      <c r="H269" s="6">
        <v>0.0</v>
      </c>
      <c r="I269" s="6"/>
      <c r="J269" s="6"/>
      <c r="K269" s="6"/>
      <c r="L269" s="6"/>
    </row>
    <row r="270" ht="15.0" customHeight="1">
      <c r="A270" s="6" t="str">
        <f>Leads!A270</f>
        <v>269</v>
      </c>
      <c r="B270" s="6" t="str">
        <f>Leads!C270</f>
        <v>On The Clock Logistics</v>
      </c>
      <c r="C270" s="6" t="str">
        <f>Leads!B270</f>
        <v>Logistics</v>
      </c>
      <c r="D270" s="6" t="str">
        <f>Leads!I270</f>
        <v>Denver, CO</v>
      </c>
      <c r="E270" s="6" t="str">
        <f>Leads!E270</f>
        <v>+1 303-285-9555</v>
      </c>
      <c r="F270" s="6" t="str">
        <f>Leads!D270</f>
        <v>Will (owner)</v>
      </c>
      <c r="G270" s="6" t="s">
        <v>2</v>
      </c>
      <c r="H270" s="6">
        <v>0.0</v>
      </c>
      <c r="I270" s="6"/>
      <c r="J270" s="6"/>
      <c r="K270" s="6"/>
      <c r="L270" s="6"/>
    </row>
    <row r="271" ht="23.25" customHeight="1">
      <c r="A271" s="6" t="str">
        <f>Leads!A271</f>
        <v>270</v>
      </c>
      <c r="B271" s="6" t="str">
        <f>Leads!C271</f>
        <v>Navis Pack &amp; Ship</v>
      </c>
      <c r="C271" s="6" t="str">
        <f>Leads!B271</f>
        <v>Logistics</v>
      </c>
      <c r="D271" s="6" t="str">
        <f>Leads!I271</f>
        <v>Colorado Springs, CO</v>
      </c>
      <c r="E271" s="6" t="str">
        <f>Leads!E271</f>
        <v>+1 719-633-2988</v>
      </c>
      <c r="F271" s="6" t="str">
        <f>Leads!D271</f>
        <v>Wanda and Ethan (staff - confirm owner)</v>
      </c>
      <c r="G271" s="6" t="s">
        <v>2</v>
      </c>
      <c r="H271" s="6">
        <v>0.0</v>
      </c>
      <c r="I271" s="6"/>
      <c r="J271" s="6"/>
      <c r="K271" s="6"/>
      <c r="L271" s="6"/>
    </row>
    <row r="272" ht="15.0" customHeight="1">
      <c r="A272" s="6" t="str">
        <f>Leads!A272</f>
        <v>271</v>
      </c>
      <c r="B272" s="6" t="str">
        <f>Leads!C272</f>
        <v>Flintstone trucking LLC</v>
      </c>
      <c r="C272" s="6" t="str">
        <f>Leads!B272</f>
        <v>Logistics</v>
      </c>
      <c r="D272" s="6" t="str">
        <f>Leads!I272</f>
        <v>Seattle, WA</v>
      </c>
      <c r="E272" s="6" t="str">
        <f>Leads!E272</f>
        <v>+1 206-234-2242</v>
      </c>
      <c r="F272" s="6" t="str">
        <f>Leads!D272</f>
        <v>Ash (staff - confirm owner)</v>
      </c>
      <c r="G272" s="6" t="s">
        <v>2</v>
      </c>
      <c r="H272" s="6">
        <v>0.0</v>
      </c>
      <c r="I272" s="6"/>
      <c r="J272" s="6"/>
      <c r="K272" s="6"/>
      <c r="L272" s="6"/>
    </row>
    <row r="273" ht="15.0" customHeight="1">
      <c r="A273" s="6" t="str">
        <f>Leads!A273</f>
        <v>272</v>
      </c>
      <c r="B273" s="6" t="str">
        <f>Leads!C273</f>
        <v>Morning Star Transport, LLC</v>
      </c>
      <c r="C273" s="6" t="str">
        <f>Leads!B273</f>
        <v>Logistics</v>
      </c>
      <c r="D273" s="6" t="str">
        <f>Leads!I273</f>
        <v>Seattle, WA</v>
      </c>
      <c r="E273" s="6" t="str">
        <f>Leads!E273</f>
        <v>+1 206-455-7775</v>
      </c>
      <c r="F273" s="6" t="str">
        <f>Leads!D273</f>
        <v>John (owner)</v>
      </c>
      <c r="G273" s="6" t="s">
        <v>2</v>
      </c>
      <c r="H273" s="6">
        <v>0.0</v>
      </c>
      <c r="I273" s="6"/>
      <c r="J273" s="6"/>
      <c r="K273" s="6"/>
      <c r="L273" s="6"/>
    </row>
    <row r="274" ht="23.25" customHeight="1">
      <c r="A274" s="6" t="str">
        <f>Leads!A274</f>
        <v>273</v>
      </c>
      <c r="B274" s="6" t="str">
        <f>Leads!C274</f>
        <v>Long Road Transportation LLC</v>
      </c>
      <c r="C274" s="6" t="str">
        <f>Leads!B274</f>
        <v>Logistics</v>
      </c>
      <c r="D274" s="6" t="str">
        <f>Leads!I274</f>
        <v>Kent, WA</v>
      </c>
      <c r="E274" s="6" t="str">
        <f>Leads!E274</f>
        <v>+1 425-800-4609</v>
      </c>
      <c r="F274" s="6" t="str">
        <f>Leads!D274</f>
        <v>Vitaly and Eduardo (staff - confirm owner)</v>
      </c>
      <c r="G274" s="6" t="s">
        <v>2</v>
      </c>
      <c r="H274" s="6">
        <v>0.0</v>
      </c>
      <c r="I274" s="6"/>
      <c r="J274" s="6"/>
      <c r="K274" s="6"/>
      <c r="L274" s="6"/>
    </row>
    <row r="275" ht="15.0" customHeight="1">
      <c r="A275" s="6" t="str">
        <f>Leads!A275</f>
        <v>274</v>
      </c>
      <c r="B275" s="6" t="str">
        <f>Leads!C275</f>
        <v>Evergreen Shippers, LLC</v>
      </c>
      <c r="C275" s="6" t="str">
        <f>Leads!B275</f>
        <v>Logistics</v>
      </c>
      <c r="D275" s="6" t="str">
        <f>Leads!I275</f>
        <v>Spokane, WA</v>
      </c>
      <c r="E275" s="6" t="str">
        <f>Leads!E275</f>
        <v>+1 509-321-4380</v>
      </c>
      <c r="F275" s="6" t="str">
        <f>Leads!D275</f>
        <v>Konstantine (owner)</v>
      </c>
      <c r="G275" s="6" t="s">
        <v>2</v>
      </c>
      <c r="H275" s="6">
        <v>0.0</v>
      </c>
      <c r="I275" s="6"/>
      <c r="J275" s="6"/>
      <c r="K275" s="6"/>
      <c r="L275" s="6"/>
    </row>
    <row r="276" ht="15.0" customHeight="1">
      <c r="A276" s="6" t="str">
        <f>Leads!A276</f>
        <v>275</v>
      </c>
      <c r="B276" s="6" t="str">
        <f>Leads!C276</f>
        <v>Realtyflo Inc (Downtown Realty)</v>
      </c>
      <c r="C276" s="6" t="str">
        <f>Leads!B276</f>
        <v>Real Estate</v>
      </c>
      <c r="D276" s="6" t="str">
        <f>Leads!I276</f>
        <v>Detroit, MI</v>
      </c>
      <c r="E276" s="6" t="str">
        <f>Leads!E276</f>
        <v>+1 313-466-7253</v>
      </c>
      <c r="F276" s="6" t="str">
        <f>Leads!D276</f>
        <v>Larry Else (Principal Broker)</v>
      </c>
      <c r="G276" s="6" t="s">
        <v>2</v>
      </c>
      <c r="H276" s="6">
        <v>0.0</v>
      </c>
      <c r="I276" s="6"/>
      <c r="J276" s="6"/>
      <c r="K276" s="6"/>
      <c r="L276" s="6"/>
    </row>
    <row r="277" ht="15.0" customHeight="1">
      <c r="A277" s="6" t="str">
        <f>Leads!A277</f>
        <v>276</v>
      </c>
      <c r="B277" s="6" t="str">
        <f>Leads!C277</f>
        <v>Nika &amp; Co</v>
      </c>
      <c r="C277" s="6" t="str">
        <f>Leads!B277</f>
        <v>Real Estate</v>
      </c>
      <c r="D277" s="6" t="str">
        <f>Leads!I277</f>
        <v>Detroit, MI</v>
      </c>
      <c r="E277" s="6" t="str">
        <f>Leads!E277</f>
        <v>+1 313-858-6580</v>
      </c>
      <c r="F277" s="6" t="str">
        <f>Leads!D277</f>
        <v>Nika (owner - confirm)</v>
      </c>
      <c r="G277" s="6" t="s">
        <v>2</v>
      </c>
      <c r="H277" s="6">
        <v>0.0</v>
      </c>
      <c r="I277" s="6"/>
      <c r="J277" s="6"/>
      <c r="K277" s="6"/>
      <c r="L277" s="6"/>
    </row>
    <row r="278" ht="23.25" customHeight="1">
      <c r="A278" s="6" t="str">
        <f>Leads!A278</f>
        <v>277</v>
      </c>
      <c r="B278" s="6" t="str">
        <f>Leads!C278</f>
        <v>The Patrick Campbell Team at Compass</v>
      </c>
      <c r="C278" s="6" t="str">
        <f>Leads!B278</f>
        <v>Real Estate</v>
      </c>
      <c r="D278" s="6" t="str">
        <f>Leads!I278</f>
        <v>Philadelphia, PA</v>
      </c>
      <c r="E278" s="6" t="str">
        <f>Leads!E278</f>
        <v>+1 215-828-6558</v>
      </c>
      <c r="F278" s="6" t="str">
        <f>Leads!D278</f>
        <v>Patrick Campbell (agent - confirm owner)</v>
      </c>
      <c r="G278" s="6" t="s">
        <v>2</v>
      </c>
      <c r="H278" s="6">
        <v>0.0</v>
      </c>
      <c r="I278" s="6"/>
      <c r="J278" s="6"/>
      <c r="K278" s="6"/>
      <c r="L278" s="6"/>
    </row>
    <row r="279" ht="23.25" customHeight="1">
      <c r="A279" s="6" t="str">
        <f>Leads!A279</f>
        <v>278</v>
      </c>
      <c r="B279" s="6" t="str">
        <f>Leads!C279</f>
        <v>Philadelphia Home Collective</v>
      </c>
      <c r="C279" s="6" t="str">
        <f>Leads!B279</f>
        <v>Real Estate</v>
      </c>
      <c r="D279" s="6" t="str">
        <f>Leads!I279</f>
        <v>Philadelphia, PA</v>
      </c>
      <c r="E279" s="6" t="str">
        <f>Leads!E279</f>
        <v>+1 215-620-8726</v>
      </c>
      <c r="F279" s="6" t="str">
        <f>Leads!D279</f>
        <v>Kristin McFeely / Zoe (agents - confirm owner)</v>
      </c>
      <c r="G279" s="6" t="s">
        <v>2</v>
      </c>
      <c r="H279" s="6">
        <v>0.0</v>
      </c>
      <c r="I279" s="6"/>
      <c r="J279" s="6"/>
      <c r="K279" s="6"/>
      <c r="L279" s="6"/>
    </row>
    <row r="280" ht="23.25" customHeight="1">
      <c r="A280" s="6" t="str">
        <f>Leads!A280</f>
        <v>279</v>
      </c>
      <c r="B280" s="6" t="str">
        <f>Leads!C280</f>
        <v>FY TRUCKING CO</v>
      </c>
      <c r="C280" s="6" t="str">
        <f>Leads!B280</f>
        <v>Logistics</v>
      </c>
      <c r="D280" s="6" t="str">
        <f>Leads!I280</f>
        <v>Upper Chichester, PA</v>
      </c>
      <c r="E280" s="6" t="str">
        <f>Leads!E280</f>
        <v>+1 267-702-0106</v>
      </c>
      <c r="F280" s="6" t="str">
        <f>Leads!D280</f>
        <v>Not identified - confirm on call</v>
      </c>
      <c r="G280" s="6" t="s">
        <v>2</v>
      </c>
      <c r="H280" s="6">
        <v>0.0</v>
      </c>
      <c r="I280" s="6"/>
      <c r="J280" s="6"/>
      <c r="K280" s="6"/>
      <c r="L280" s="6"/>
    </row>
    <row r="281" ht="15.0" customHeight="1">
      <c r="A281" s="6" t="str">
        <f>Leads!A281</f>
        <v>280</v>
      </c>
      <c r="B281" s="6" t="str">
        <f>Leads!C281</f>
        <v>Galasso Trucking Services</v>
      </c>
      <c r="C281" s="6" t="str">
        <f>Leads!B281</f>
        <v>Logistics</v>
      </c>
      <c r="D281" s="6" t="str">
        <f>Leads!I281</f>
        <v>Philadelphia, PA</v>
      </c>
      <c r="E281" s="6" t="str">
        <f>Leads!E281</f>
        <v>+1 215-535-4731</v>
      </c>
      <c r="F281" s="6" t="str">
        <f>Leads!D281</f>
        <v>Not identified - confirm on call</v>
      </c>
      <c r="G281" s="6" t="s">
        <v>2</v>
      </c>
      <c r="H281" s="6">
        <v>0.0</v>
      </c>
      <c r="I281" s="6"/>
      <c r="J281" s="6"/>
      <c r="K281" s="6"/>
      <c r="L281" s="6"/>
    </row>
    <row r="282" ht="15.0" customHeight="1">
      <c r="A282" s="6" t="str">
        <f>Leads!A282</f>
        <v>281</v>
      </c>
      <c r="B282" s="6" t="str">
        <f>Leads!C282</f>
        <v>US Cargo Inc</v>
      </c>
      <c r="C282" s="6" t="str">
        <f>Leads!B282</f>
        <v>Logistics</v>
      </c>
      <c r="D282" s="6" t="str">
        <f>Leads!I282</f>
        <v>Pittsburgh, PA</v>
      </c>
      <c r="E282" s="6" t="str">
        <f>Leads!E282</f>
        <v>+1 412-458-0071</v>
      </c>
      <c r="F282" s="6" t="str">
        <f>Leads!D282</f>
        <v>Not identified - confirm on call</v>
      </c>
      <c r="G282" s="6" t="s">
        <v>2</v>
      </c>
      <c r="H282" s="6">
        <v>0.0</v>
      </c>
      <c r="I282" s="6"/>
      <c r="J282" s="6"/>
      <c r="K282" s="6"/>
      <c r="L282" s="6"/>
    </row>
    <row r="283" ht="15.0" customHeight="1">
      <c r="A283" s="6" t="str">
        <f>Leads!A283</f>
        <v>282</v>
      </c>
      <c r="B283" s="6" t="str">
        <f>Leads!C283</f>
        <v>VSF Transportation</v>
      </c>
      <c r="C283" s="6" t="str">
        <f>Leads!B283</f>
        <v>Logistics</v>
      </c>
      <c r="D283" s="6" t="str">
        <f>Leads!I283</f>
        <v>Grand Rapids, MI</v>
      </c>
      <c r="E283" s="6" t="str">
        <f>Leads!E283</f>
        <v>+1 616-530-0005</v>
      </c>
      <c r="F283" s="6" t="str">
        <f>Leads!D283</f>
        <v>Al (contact - confirm owner)</v>
      </c>
      <c r="G283" s="6" t="s">
        <v>2</v>
      </c>
      <c r="H283" s="6">
        <v>0.0</v>
      </c>
      <c r="I283" s="6"/>
      <c r="J283" s="6"/>
      <c r="K283" s="6"/>
      <c r="L283" s="6"/>
    </row>
    <row r="284" ht="23.25" customHeight="1">
      <c r="A284" s="6" t="str">
        <f>Leads!A284</f>
        <v>283</v>
      </c>
      <c r="B284" s="6" t="str">
        <f>Leads!C284</f>
        <v>TFWW Grand Rapids</v>
      </c>
      <c r="C284" s="6" t="str">
        <f>Leads!B284</f>
        <v>Logistics</v>
      </c>
      <c r="D284" s="6" t="str">
        <f>Leads!I284</f>
        <v>Grand Rapids, MI</v>
      </c>
      <c r="E284" s="6" t="str">
        <f>Leads!E284</f>
        <v>+1 616-459-7715</v>
      </c>
      <c r="F284" s="6" t="str">
        <f>Leads!D284</f>
        <v>Carolyn / Michelle (staff - confirm owner)</v>
      </c>
      <c r="G284" s="6" t="s">
        <v>2</v>
      </c>
      <c r="H284" s="6">
        <v>0.0</v>
      </c>
      <c r="I284" s="6"/>
      <c r="J284" s="6"/>
      <c r="K284" s="6"/>
      <c r="L284" s="6"/>
    </row>
    <row r="285" ht="15.0" customHeight="1">
      <c r="A285" s="6" t="str">
        <f>Leads!A285</f>
        <v>284</v>
      </c>
      <c r="B285" s="6" t="str">
        <f>Leads!C285</f>
        <v>Roth Trucking Inc</v>
      </c>
      <c r="C285" s="6" t="str">
        <f>Leads!B285</f>
        <v>Logistics</v>
      </c>
      <c r="D285" s="6" t="str">
        <f>Leads!I285</f>
        <v>Grand Rapids, MI</v>
      </c>
      <c r="E285" s="6" t="str">
        <f>Leads!E285</f>
        <v>+1 800-522-7684</v>
      </c>
      <c r="F285" s="6" t="str">
        <f>Leads!D285</f>
        <v>Not identified - confirm on call</v>
      </c>
      <c r="G285" s="6" t="s">
        <v>2</v>
      </c>
      <c r="H285" s="6">
        <v>0.0</v>
      </c>
      <c r="I285" s="6"/>
      <c r="J285" s="6"/>
      <c r="K285" s="6"/>
      <c r="L285" s="6"/>
    </row>
  </sheetData>
  <autoFilter ref="$A$1:$L$285"/>
  <conditionalFormatting sqref="G2:G181">
    <cfRule type="cellIs" dxfId="0" priority="1" operator="equal">
      <formula>"Meeting Booked"</formula>
    </cfRule>
  </conditionalFormatting>
  <conditionalFormatting sqref="G2:G181">
    <cfRule type="cellIs" dxfId="0" priority="2" operator="equal">
      <formula>"Closed Won"</formula>
    </cfRule>
  </conditionalFormatting>
  <conditionalFormatting sqref="G2:G181">
    <cfRule type="cellIs" dxfId="1" priority="3" operator="equal">
      <formula>"Spoke - Interested"</formula>
    </cfRule>
  </conditionalFormatting>
  <conditionalFormatting sqref="G2:G181">
    <cfRule type="cellIs" dxfId="1" priority="4" operator="equal">
      <formula>"Follow-up Scheduled"</formula>
    </cfRule>
  </conditionalFormatting>
  <conditionalFormatting sqref="G2:G181">
    <cfRule type="cellIs" dxfId="2" priority="5" operator="equal">
      <formula>"Spoke - Not Interested"</formula>
    </cfRule>
  </conditionalFormatting>
  <conditionalFormatting sqref="G2:G181">
    <cfRule type="cellIs" dxfId="2" priority="6" operator="equal">
      <formula>"Closed Lost"</formula>
    </cfRule>
  </conditionalFormatting>
  <conditionalFormatting sqref="G2:G181">
    <cfRule type="cellIs" dxfId="3" priority="7" operator="equal">
      <formula>"Bad Number/DNC"</formula>
    </cfRule>
  </conditionalFormatting>
  <dataValidations>
    <dataValidation type="list" allowBlank="1" sqref="G2:G285">
      <formula1>"Not Started,Attempted - No Answer,Attempted - Voicemail,Gatekeeper,Spoke - Not Interested,Spoke - Interested,Meeting Booked,Follow-up Scheduled,Closed Won,Closed Lost,Bad Number/DNC"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8.0"/>
    <col customWidth="1" min="4" max="4" width="16.0"/>
    <col customWidth="1" min="5" max="5" width="10.0"/>
    <col customWidth="1" min="6" max="6" width="40.0"/>
    <col customWidth="1" min="7" max="7" width="20.0"/>
    <col customWidth="1" min="8" max="8" width="28.0"/>
    <col customWidth="1" min="9" max="9" width="26.0"/>
    <col customWidth="1" min="10" max="11" width="34.0"/>
  </cols>
  <sheetData>
    <row r="1">
      <c r="A1" s="7" t="s">
        <v>521</v>
      </c>
      <c r="B1" s="7" t="s">
        <v>1415</v>
      </c>
      <c r="C1" s="7" t="s">
        <v>1416</v>
      </c>
      <c r="D1" s="7" t="s">
        <v>1417</v>
      </c>
      <c r="E1" s="7" t="s">
        <v>1418</v>
      </c>
      <c r="F1" s="7" t="s">
        <v>1419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1420</v>
      </c>
    </row>
    <row r="2">
      <c r="A2" s="6">
        <v>1.0</v>
      </c>
      <c r="B2" s="6" t="s">
        <v>1421</v>
      </c>
      <c r="C2" s="6" t="s">
        <v>1422</v>
      </c>
      <c r="D2" s="6" t="s">
        <v>1423</v>
      </c>
      <c r="E2" s="6"/>
      <c r="F2" s="6" t="s">
        <v>1424</v>
      </c>
      <c r="G2" s="6" t="s">
        <v>1425</v>
      </c>
      <c r="H2" s="6" t="s">
        <v>25</v>
      </c>
      <c r="I2" s="6" t="s">
        <v>64</v>
      </c>
      <c r="J2" s="6" t="s">
        <v>1426</v>
      </c>
      <c r="K2" s="6" t="s">
        <v>1427</v>
      </c>
    </row>
    <row r="3">
      <c r="A3" s="6">
        <v>2.0</v>
      </c>
      <c r="B3" s="6" t="s">
        <v>1428</v>
      </c>
      <c r="C3" s="6" t="s">
        <v>1422</v>
      </c>
      <c r="D3" s="6" t="s">
        <v>1423</v>
      </c>
      <c r="E3" s="6">
        <v>1975.0</v>
      </c>
      <c r="F3" s="6" t="s">
        <v>1429</v>
      </c>
      <c r="G3" s="6" t="s">
        <v>1425</v>
      </c>
      <c r="H3" s="6" t="s">
        <v>25</v>
      </c>
      <c r="I3" s="6" t="s">
        <v>64</v>
      </c>
      <c r="J3" s="6" t="s">
        <v>1430</v>
      </c>
      <c r="K3" s="6" t="s">
        <v>1431</v>
      </c>
    </row>
    <row r="4">
      <c r="A4" s="6">
        <v>3.0</v>
      </c>
      <c r="B4" s="6" t="s">
        <v>1432</v>
      </c>
      <c r="C4" s="6" t="s">
        <v>1422</v>
      </c>
      <c r="D4" s="6" t="s">
        <v>1423</v>
      </c>
      <c r="E4" s="6">
        <v>1969.0</v>
      </c>
      <c r="F4" s="6" t="s">
        <v>1429</v>
      </c>
      <c r="G4" s="6" t="s">
        <v>1425</v>
      </c>
      <c r="H4" s="6" t="s">
        <v>25</v>
      </c>
      <c r="I4" s="6" t="s">
        <v>64</v>
      </c>
      <c r="J4" s="6" t="s">
        <v>1433</v>
      </c>
      <c r="K4" s="6" t="s">
        <v>1431</v>
      </c>
    </row>
    <row r="5">
      <c r="A5" s="6">
        <v>4.0</v>
      </c>
      <c r="B5" s="6" t="s">
        <v>1434</v>
      </c>
      <c r="C5" s="6" t="s">
        <v>1422</v>
      </c>
      <c r="D5" s="6" t="s">
        <v>1435</v>
      </c>
      <c r="E5" s="6"/>
      <c r="F5" s="6" t="s">
        <v>1436</v>
      </c>
      <c r="G5" s="6" t="s">
        <v>1425</v>
      </c>
      <c r="H5" s="6" t="s">
        <v>25</v>
      </c>
      <c r="I5" s="6" t="s">
        <v>64</v>
      </c>
      <c r="J5" s="6" t="s">
        <v>1437</v>
      </c>
      <c r="K5" s="6" t="s">
        <v>1431</v>
      </c>
    </row>
    <row r="6">
      <c r="A6" s="6">
        <v>5.0</v>
      </c>
      <c r="B6" s="6" t="s">
        <v>1438</v>
      </c>
      <c r="C6" s="6" t="s">
        <v>1422</v>
      </c>
      <c r="D6" s="6" t="s">
        <v>1439</v>
      </c>
      <c r="E6" s="6"/>
      <c r="F6" s="6" t="s">
        <v>1436</v>
      </c>
      <c r="G6" s="6" t="s">
        <v>1425</v>
      </c>
      <c r="H6" s="6" t="s">
        <v>25</v>
      </c>
      <c r="I6" s="6" t="s">
        <v>64</v>
      </c>
      <c r="J6" s="6" t="s">
        <v>1440</v>
      </c>
      <c r="K6" s="6" t="s">
        <v>1431</v>
      </c>
    </row>
    <row r="7">
      <c r="A7" s="6">
        <v>6.0</v>
      </c>
      <c r="B7" s="6" t="s">
        <v>1441</v>
      </c>
      <c r="C7" s="6" t="s">
        <v>1422</v>
      </c>
      <c r="D7" s="6" t="s">
        <v>1439</v>
      </c>
      <c r="E7" s="6"/>
      <c r="F7" s="6" t="s">
        <v>1436</v>
      </c>
      <c r="G7" s="6" t="s">
        <v>1425</v>
      </c>
      <c r="H7" s="6" t="s">
        <v>25</v>
      </c>
      <c r="I7" s="6" t="s">
        <v>64</v>
      </c>
      <c r="J7" s="6" t="s">
        <v>1442</v>
      </c>
      <c r="K7" s="6" t="s">
        <v>1431</v>
      </c>
    </row>
    <row r="8">
      <c r="A8" s="6">
        <v>7.0</v>
      </c>
      <c r="B8" s="6" t="s">
        <v>1443</v>
      </c>
      <c r="C8" s="6" t="s">
        <v>1422</v>
      </c>
      <c r="D8" s="6" t="s">
        <v>1439</v>
      </c>
      <c r="E8" s="6"/>
      <c r="F8" s="6" t="s">
        <v>1436</v>
      </c>
      <c r="G8" s="6" t="s">
        <v>1425</v>
      </c>
      <c r="H8" s="6" t="s">
        <v>25</v>
      </c>
      <c r="I8" s="6" t="s">
        <v>64</v>
      </c>
      <c r="J8" s="6" t="s">
        <v>1444</v>
      </c>
      <c r="K8" s="6" t="s">
        <v>1431</v>
      </c>
    </row>
    <row r="9">
      <c r="A9" s="6">
        <v>8.0</v>
      </c>
      <c r="B9" s="6" t="s">
        <v>1445</v>
      </c>
      <c r="C9" s="6" t="s">
        <v>1422</v>
      </c>
      <c r="D9" s="6" t="s">
        <v>1439</v>
      </c>
      <c r="E9" s="6"/>
      <c r="F9" s="6" t="s">
        <v>1446</v>
      </c>
      <c r="G9" s="6" t="s">
        <v>1425</v>
      </c>
      <c r="H9" s="6" t="s">
        <v>25</v>
      </c>
      <c r="I9" s="6" t="s">
        <v>64</v>
      </c>
      <c r="J9" s="6" t="s">
        <v>1447</v>
      </c>
      <c r="K9" s="6" t="s">
        <v>1431</v>
      </c>
    </row>
    <row r="10">
      <c r="A10" s="6">
        <v>9.0</v>
      </c>
      <c r="B10" s="6" t="s">
        <v>1448</v>
      </c>
      <c r="C10" s="6" t="s">
        <v>1422</v>
      </c>
      <c r="D10" s="6" t="s">
        <v>1449</v>
      </c>
      <c r="E10" s="6"/>
      <c r="F10" s="6" t="s">
        <v>230</v>
      </c>
      <c r="G10" s="6" t="s">
        <v>1425</v>
      </c>
      <c r="H10" s="6" t="s">
        <v>25</v>
      </c>
      <c r="I10" s="6" t="s">
        <v>64</v>
      </c>
      <c r="J10" s="6" t="s">
        <v>1450</v>
      </c>
      <c r="K10" s="6" t="s">
        <v>1431</v>
      </c>
    </row>
    <row r="11">
      <c r="A11" s="6">
        <v>10.0</v>
      </c>
      <c r="B11" s="6" t="s">
        <v>1451</v>
      </c>
      <c r="C11" s="6" t="s">
        <v>1452</v>
      </c>
      <c r="D11" s="6" t="s">
        <v>1423</v>
      </c>
      <c r="E11" s="6"/>
      <c r="F11" s="6" t="s">
        <v>1453</v>
      </c>
      <c r="G11" s="6" t="s">
        <v>1425</v>
      </c>
      <c r="H11" s="6" t="s">
        <v>25</v>
      </c>
      <c r="I11" s="6" t="s">
        <v>64</v>
      </c>
      <c r="J11" s="6" t="s">
        <v>1454</v>
      </c>
      <c r="K11" s="6" t="s">
        <v>1431</v>
      </c>
    </row>
    <row r="12">
      <c r="A12" s="6">
        <v>11.0</v>
      </c>
      <c r="B12" s="6" t="s">
        <v>1455</v>
      </c>
      <c r="C12" s="6" t="s">
        <v>1452</v>
      </c>
      <c r="D12" s="6" t="s">
        <v>1435</v>
      </c>
      <c r="E12" s="6"/>
      <c r="F12" s="6" t="s">
        <v>1436</v>
      </c>
      <c r="G12" s="6" t="s">
        <v>1425</v>
      </c>
      <c r="H12" s="6" t="s">
        <v>25</v>
      </c>
      <c r="I12" s="6" t="s">
        <v>64</v>
      </c>
      <c r="J12" s="6" t="s">
        <v>1456</v>
      </c>
      <c r="K12" s="6" t="s">
        <v>1431</v>
      </c>
    </row>
    <row r="13">
      <c r="A13" s="6">
        <v>12.0</v>
      </c>
      <c r="B13" s="6" t="s">
        <v>1457</v>
      </c>
      <c r="C13" s="6" t="s">
        <v>1452</v>
      </c>
      <c r="D13" s="6" t="s">
        <v>1435</v>
      </c>
      <c r="E13" s="6"/>
      <c r="F13" s="6" t="s">
        <v>1458</v>
      </c>
      <c r="G13" s="6" t="s">
        <v>1425</v>
      </c>
      <c r="H13" s="6" t="s">
        <v>25</v>
      </c>
      <c r="I13" s="6" t="s">
        <v>64</v>
      </c>
      <c r="J13" s="6" t="s">
        <v>1459</v>
      </c>
      <c r="K13" s="6" t="s">
        <v>1431</v>
      </c>
    </row>
    <row r="14">
      <c r="A14" s="6">
        <v>13.0</v>
      </c>
      <c r="B14" s="6" t="s">
        <v>1460</v>
      </c>
      <c r="C14" s="6" t="s">
        <v>1452</v>
      </c>
      <c r="D14" s="6" t="s">
        <v>1439</v>
      </c>
      <c r="E14" s="6"/>
      <c r="F14" s="6" t="s">
        <v>1436</v>
      </c>
      <c r="G14" s="6" t="s">
        <v>1425</v>
      </c>
      <c r="H14" s="6" t="s">
        <v>25</v>
      </c>
      <c r="I14" s="6" t="s">
        <v>64</v>
      </c>
      <c r="J14" s="6" t="s">
        <v>1461</v>
      </c>
      <c r="K14" s="6" t="s">
        <v>1431</v>
      </c>
    </row>
    <row r="15">
      <c r="A15" s="6">
        <v>14.0</v>
      </c>
      <c r="B15" s="6" t="s">
        <v>1462</v>
      </c>
      <c r="C15" s="6" t="s">
        <v>1452</v>
      </c>
      <c r="D15" s="6" t="s">
        <v>1463</v>
      </c>
      <c r="E15" s="6"/>
      <c r="F15" s="6" t="s">
        <v>230</v>
      </c>
      <c r="G15" s="6" t="s">
        <v>1425</v>
      </c>
      <c r="H15" s="6" t="s">
        <v>25</v>
      </c>
      <c r="I15" s="6" t="s">
        <v>64</v>
      </c>
      <c r="J15" s="6" t="s">
        <v>1464</v>
      </c>
      <c r="K15" s="6" t="s">
        <v>1431</v>
      </c>
    </row>
    <row r="16">
      <c r="A16" s="6">
        <v>15.0</v>
      </c>
      <c r="B16" s="6" t="s">
        <v>1465</v>
      </c>
      <c r="C16" s="6" t="s">
        <v>1466</v>
      </c>
      <c r="D16" s="6" t="s">
        <v>1435</v>
      </c>
      <c r="E16" s="6">
        <v>2003.0</v>
      </c>
      <c r="F16" s="6" t="s">
        <v>1467</v>
      </c>
      <c r="G16" s="6" t="s">
        <v>1425</v>
      </c>
      <c r="H16" s="6" t="s">
        <v>25</v>
      </c>
      <c r="I16" s="6" t="s">
        <v>64</v>
      </c>
      <c r="J16" s="6" t="s">
        <v>1468</v>
      </c>
      <c r="K16" s="6" t="s">
        <v>1431</v>
      </c>
    </row>
    <row r="17">
      <c r="A17" s="6">
        <v>16.0</v>
      </c>
      <c r="B17" s="6" t="s">
        <v>1469</v>
      </c>
      <c r="C17" s="6" t="s">
        <v>1470</v>
      </c>
      <c r="D17" s="6" t="s">
        <v>1471</v>
      </c>
      <c r="E17" s="6">
        <v>1922.0</v>
      </c>
      <c r="F17" s="6" t="s">
        <v>1472</v>
      </c>
      <c r="G17" s="6" t="s">
        <v>1425</v>
      </c>
      <c r="H17" s="6" t="s">
        <v>25</v>
      </c>
      <c r="I17" s="6" t="s">
        <v>64</v>
      </c>
      <c r="J17" s="6" t="s">
        <v>1473</v>
      </c>
      <c r="K17" s="6" t="s">
        <v>1431</v>
      </c>
    </row>
    <row r="18">
      <c r="A18" s="6">
        <v>17.0</v>
      </c>
      <c r="B18" s="6" t="s">
        <v>1474</v>
      </c>
      <c r="C18" s="6" t="s">
        <v>1475</v>
      </c>
      <c r="D18" s="6" t="s">
        <v>1423</v>
      </c>
      <c r="E18" s="6">
        <v>1953.0</v>
      </c>
      <c r="F18" s="6" t="s">
        <v>1476</v>
      </c>
      <c r="G18" s="6" t="s">
        <v>1425</v>
      </c>
      <c r="H18" s="6" t="s">
        <v>25</v>
      </c>
      <c r="I18" s="6" t="s">
        <v>64</v>
      </c>
      <c r="J18" s="6" t="s">
        <v>1477</v>
      </c>
      <c r="K18" s="6" t="s">
        <v>1431</v>
      </c>
    </row>
    <row r="19">
      <c r="A19" s="6">
        <v>18.0</v>
      </c>
      <c r="B19" s="6" t="s">
        <v>1478</v>
      </c>
      <c r="C19" s="6" t="s">
        <v>1475</v>
      </c>
      <c r="D19" s="6" t="s">
        <v>1423</v>
      </c>
      <c r="E19" s="6">
        <v>1974.0</v>
      </c>
      <c r="F19" s="6" t="s">
        <v>1479</v>
      </c>
      <c r="G19" s="6" t="s">
        <v>1425</v>
      </c>
      <c r="H19" s="6" t="s">
        <v>25</v>
      </c>
      <c r="I19" s="6" t="s">
        <v>64</v>
      </c>
      <c r="J19" s="6" t="s">
        <v>1480</v>
      </c>
      <c r="K19" s="6" t="s">
        <v>1431</v>
      </c>
    </row>
    <row r="20">
      <c r="A20" s="6">
        <v>19.0</v>
      </c>
      <c r="B20" s="6" t="s">
        <v>1481</v>
      </c>
      <c r="C20" s="6" t="s">
        <v>1475</v>
      </c>
      <c r="D20" s="6" t="s">
        <v>1423</v>
      </c>
      <c r="E20" s="6">
        <v>1997.0</v>
      </c>
      <c r="F20" s="6" t="s">
        <v>1482</v>
      </c>
      <c r="G20" s="6" t="s">
        <v>1425</v>
      </c>
      <c r="H20" s="6" t="s">
        <v>25</v>
      </c>
      <c r="I20" s="6" t="s">
        <v>64</v>
      </c>
      <c r="J20" s="6" t="s">
        <v>1483</v>
      </c>
      <c r="K20" s="6" t="s">
        <v>1431</v>
      </c>
    </row>
    <row r="21" ht="15.75" customHeight="1">
      <c r="A21" s="6">
        <v>20.0</v>
      </c>
      <c r="B21" s="6" t="s">
        <v>1484</v>
      </c>
      <c r="C21" s="6" t="s">
        <v>1475</v>
      </c>
      <c r="D21" s="6" t="s">
        <v>1439</v>
      </c>
      <c r="E21" s="6">
        <v>1983.0</v>
      </c>
      <c r="F21" s="6" t="s">
        <v>1485</v>
      </c>
      <c r="G21" s="6" t="s">
        <v>1425</v>
      </c>
      <c r="H21" s="6" t="s">
        <v>25</v>
      </c>
      <c r="I21" s="6" t="s">
        <v>64</v>
      </c>
      <c r="J21" s="6" t="s">
        <v>1486</v>
      </c>
      <c r="K21" s="6" t="s">
        <v>1431</v>
      </c>
    </row>
    <row r="22" ht="15.75" customHeight="1">
      <c r="A22" s="6">
        <v>21.0</v>
      </c>
      <c r="B22" s="6" t="s">
        <v>1487</v>
      </c>
      <c r="C22" s="6" t="s">
        <v>1475</v>
      </c>
      <c r="D22" s="6" t="s">
        <v>1439</v>
      </c>
      <c r="E22" s="6">
        <v>1996.0</v>
      </c>
      <c r="F22" s="6" t="s">
        <v>1488</v>
      </c>
      <c r="G22" s="6" t="s">
        <v>1425</v>
      </c>
      <c r="H22" s="6" t="s">
        <v>25</v>
      </c>
      <c r="I22" s="6" t="s">
        <v>64</v>
      </c>
      <c r="J22" s="6" t="s">
        <v>1489</v>
      </c>
      <c r="K22" s="6" t="s">
        <v>1431</v>
      </c>
    </row>
    <row r="23" ht="15.75" customHeight="1">
      <c r="A23" s="6">
        <v>22.0</v>
      </c>
      <c r="B23" s="6" t="s">
        <v>1490</v>
      </c>
      <c r="C23" s="6" t="s">
        <v>1475</v>
      </c>
      <c r="D23" s="6" t="s">
        <v>1439</v>
      </c>
      <c r="E23" s="6">
        <v>1961.0</v>
      </c>
      <c r="F23" s="6" t="s">
        <v>1491</v>
      </c>
      <c r="G23" s="6" t="s">
        <v>1425</v>
      </c>
      <c r="H23" s="6" t="s">
        <v>25</v>
      </c>
      <c r="I23" s="6" t="s">
        <v>64</v>
      </c>
      <c r="J23" s="6" t="s">
        <v>1492</v>
      </c>
      <c r="K23" s="6" t="s">
        <v>1431</v>
      </c>
    </row>
    <row r="24" ht="15.75" customHeight="1">
      <c r="A24" s="6">
        <v>23.0</v>
      </c>
      <c r="B24" s="6" t="s">
        <v>1493</v>
      </c>
      <c r="C24" s="6" t="s">
        <v>1475</v>
      </c>
      <c r="D24" s="6" t="s">
        <v>1439</v>
      </c>
      <c r="E24" s="6">
        <v>1976.0</v>
      </c>
      <c r="F24" s="6" t="s">
        <v>1494</v>
      </c>
      <c r="G24" s="6" t="s">
        <v>1425</v>
      </c>
      <c r="H24" s="6" t="s">
        <v>25</v>
      </c>
      <c r="I24" s="6" t="s">
        <v>64</v>
      </c>
      <c r="J24" s="6" t="s">
        <v>1495</v>
      </c>
      <c r="K24" s="6" t="s">
        <v>1431</v>
      </c>
    </row>
    <row r="25" ht="15.75" customHeight="1">
      <c r="A25" s="6">
        <v>24.0</v>
      </c>
      <c r="B25" s="6" t="s">
        <v>1496</v>
      </c>
      <c r="C25" s="6" t="s">
        <v>1497</v>
      </c>
      <c r="D25" s="6" t="s">
        <v>1423</v>
      </c>
      <c r="E25" s="6">
        <v>1938.0</v>
      </c>
      <c r="F25" s="6" t="s">
        <v>1498</v>
      </c>
      <c r="G25" s="6" t="s">
        <v>1425</v>
      </c>
      <c r="H25" s="6" t="s">
        <v>25</v>
      </c>
      <c r="I25" s="6" t="s">
        <v>64</v>
      </c>
      <c r="J25" s="6" t="s">
        <v>1499</v>
      </c>
      <c r="K25" s="6" t="s">
        <v>1431</v>
      </c>
    </row>
    <row r="26" ht="15.75" customHeight="1">
      <c r="A26" s="6">
        <v>25.0</v>
      </c>
      <c r="B26" s="6" t="s">
        <v>1500</v>
      </c>
      <c r="C26" s="6" t="s">
        <v>1497</v>
      </c>
      <c r="D26" s="6" t="s">
        <v>1435</v>
      </c>
      <c r="E26" s="6">
        <v>1978.0</v>
      </c>
      <c r="F26" s="6" t="s">
        <v>1501</v>
      </c>
      <c r="G26" s="6" t="s">
        <v>1425</v>
      </c>
      <c r="H26" s="6" t="s">
        <v>25</v>
      </c>
      <c r="I26" s="6" t="s">
        <v>64</v>
      </c>
      <c r="J26" s="6" t="s">
        <v>1502</v>
      </c>
      <c r="K26" s="6" t="s">
        <v>1431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K$26"/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2026-08-01T02:33:26Z</dcterms:created>
  <dc:creator>openpyxl</dc:creator>
  <dc:description/>
  <dc:language>en-US</dc:language>
  <cp:lastModifiedBy/>
  <dcterms:modified xsi:type="dcterms:W3CDTF">2026-08-02T22:46:50Z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